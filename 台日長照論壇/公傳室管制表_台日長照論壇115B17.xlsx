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傳室管制表" sheetId="1" state="visible" r:id="rId1"/>
    <sheet xmlns:r="http://schemas.openxmlformats.org/officeDocument/2006/relationships" name="時程甘特（公傳室）" sheetId="2" state="visible" r:id="rId2"/>
    <sheet xmlns:r="http://schemas.openxmlformats.org/officeDocument/2006/relationships" name="扣款風險（公傳室）" sheetId="3" state="visible" r:id="rId3"/>
  </sheets>
  <definedNames>
    <definedName name="_xlnm.Print_Titles" localSheetId="0">'公傳室管制表'!$1:$4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9"/>
    </font>
    <font>
      <name val="Arial"/>
      <color rgb="001B3A5C"/>
      <sz val="8.5"/>
    </font>
    <font>
      <name val="Arial"/>
      <b val="1"/>
      <color rgb="00FFFFFF"/>
      <sz val="9.5"/>
    </font>
    <font>
      <name val="Arial"/>
      <b val="1"/>
      <color rgb="00333333"/>
      <sz val="9"/>
    </font>
    <font>
      <name val="Arial"/>
      <b val="1"/>
      <color rgb="00FFFFFF"/>
      <sz val="9"/>
    </font>
    <font>
      <name val="Arial"/>
      <b val="1"/>
      <color rgb="00333333"/>
      <sz val="8.5"/>
    </font>
    <font>
      <name val="Arial"/>
      <color rgb="00333333"/>
      <sz val="8.5"/>
    </font>
    <font>
      <name val="Arial"/>
      <color rgb="005D6D7E"/>
      <sz val="8.5"/>
    </font>
    <font>
      <name val="Arial"/>
      <b val="1"/>
      <color rgb="00C0392B"/>
      <sz val="9"/>
    </font>
    <font>
      <name val="Arial"/>
      <sz val="9"/>
    </font>
    <font>
      <name val="Arial"/>
      <b val="1"/>
      <color rgb="00F39C12"/>
      <sz val="9"/>
    </font>
    <font>
      <name val="Arial"/>
      <color rgb="00C0392B"/>
      <sz val="8.5"/>
    </font>
    <font>
      <name val="Arial"/>
      <b val="1"/>
      <color rgb="00FFFFFF"/>
      <sz val="14"/>
    </font>
    <font>
      <name val="Arial"/>
      <b val="1"/>
      <sz val="9"/>
    </font>
    <font>
      <name val="Arial"/>
      <color rgb="005D6D7E"/>
      <sz val="8"/>
    </font>
    <font>
      <name val="Arial"/>
      <b val="1"/>
      <color rgb="0017A589"/>
      <sz val="9"/>
    </font>
    <font>
      <name val="Arial"/>
      <color rgb="002E6DA4"/>
      <sz val="10"/>
    </font>
    <font>
      <name val="Arial"/>
      <color rgb="00C0392B"/>
      <sz val="8"/>
    </font>
    <font>
      <name val="Arial"/>
      <b val="1"/>
      <color rgb="00FFFFFF"/>
      <sz val="13"/>
    </font>
    <font>
      <name val="Arial"/>
      <color rgb="005D6D7E"/>
      <sz val="9"/>
    </font>
    <font>
      <name val="Arial"/>
      <b val="1"/>
      <color rgb="00FFFFFF"/>
      <sz val="10"/>
    </font>
  </fonts>
  <fills count="19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E6DA4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F4F6F7"/>
      </patternFill>
    </fill>
    <fill>
      <patternFill patternType="solid">
        <fgColor rgb="00FFF9C4"/>
      </patternFill>
    </fill>
    <fill>
      <patternFill patternType="solid">
        <fgColor rgb="00FEF9E7"/>
      </patternFill>
    </fill>
    <fill>
      <patternFill patternType="solid">
        <fgColor rgb="00FDFEFE"/>
      </patternFill>
    </fill>
    <fill>
      <patternFill patternType="solid">
        <fgColor rgb="00C0392B"/>
      </patternFill>
    </fill>
    <fill>
      <patternFill patternType="solid">
        <fgColor rgb="00EAF4EA"/>
      </patternFill>
    </fill>
    <fill>
      <patternFill patternType="solid">
        <fgColor rgb="00F39C12"/>
      </patternFill>
    </fill>
    <fill>
      <patternFill patternType="solid">
        <fgColor rgb="00FADBD8"/>
      </patternFill>
    </fill>
    <fill>
      <patternFill patternType="solid">
        <fgColor rgb="00F9EBEA"/>
      </patternFill>
    </fill>
    <fill>
      <patternFill patternType="solid">
        <fgColor rgb="00F4ECF7"/>
      </patternFill>
    </fill>
    <fill>
      <patternFill patternType="solid">
        <fgColor rgb="00D5F5E3"/>
      </patternFill>
    </fill>
    <fill>
      <patternFill patternType="solid">
        <fgColor rgb="00D4E6F1"/>
      </patternFill>
    </fill>
    <fill>
      <patternFill patternType="solid">
        <fgColor rgb="00FEF5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4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5" fillId="16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17" fillId="16" borderId="1" applyAlignment="1" pivotButton="0" quotePrefix="0" xfId="0">
      <alignment horizontal="center" vertical="center"/>
    </xf>
    <xf numFmtId="0" fontId="18" fillId="17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9" fillId="13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1" fillId="13" borderId="0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0" fillId="1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44" customWidth="1" min="4" max="4"/>
    <col width="22" customWidth="1" min="5" max="5"/>
    <col width="13" customWidth="1" min="6" max="6"/>
    <col width="9" customWidth="1" min="7" max="7"/>
    <col width="9" customWidth="1" min="8" max="8"/>
    <col width="28" customWidth="1" min="9" max="9"/>
    <col width="7" customWidth="1" min="10" max="10"/>
    <col width="32" customWidth="1" min="11" max="11"/>
    <col width="11" customWidth="1" min="12" max="12"/>
    <col width="8" customWidth="1" min="13" max="13"/>
  </cols>
  <sheetData>
    <row r="1" ht="40" customHeight="1">
      <c r="A1" s="1" t="inlineStr">
        <is>
          <t>2026 臺中長照台日論壇  ·  公傳室工作管制表</t>
        </is>
      </c>
    </row>
    <row r="2" ht="22" customHeight="1">
      <c r="A2" s="2" t="inlineStr">
        <is>
          <t>案號：115B17　｜　負責單位：公傳室　｜　論壇日期：2026/7/3（五）　｜　今日：2026/5/15　｜　範疇：文宣設計（H）＋活動推廣（J）＋論壇形象（B部分）</t>
        </is>
      </c>
    </row>
    <row r="3" ht="22" customHeight="1">
      <c r="A3" s="3" t="inlineStr">
        <is>
          <t>▶ 關鍵截止：【D+30 → 6/15】【論壇前30天 → 6/3（網路廣告）】【論壇前14天 → 6/19（廣告上刊）】【論壇前1天 → 7/2（文宣送達）】【論壇日 → 7/3】【論壇後15天 → 7/19（影片）】</t>
        </is>
      </c>
    </row>
    <row r="4" ht="24" customHeight="1">
      <c r="A4" s="4" t="inlineStr">
        <is>
          <t>序號</t>
        </is>
      </c>
      <c r="B4" s="4" t="inlineStr">
        <is>
          <t>類別</t>
        </is>
      </c>
      <c r="C4" s="4" t="inlineStr">
        <is>
          <t>工作項目</t>
        </is>
      </c>
      <c r="D4" s="4" t="inlineStr">
        <is>
          <t>執行內容摘要</t>
        </is>
      </c>
      <c r="E4" s="4" t="inlineStr">
        <is>
          <t>標規期限依據</t>
        </is>
      </c>
      <c r="F4" s="4" t="inlineStr">
        <is>
          <t>截止日期</t>
        </is>
      </c>
      <c r="G4" s="4" t="inlineStr">
        <is>
          <t>負責窗口</t>
        </is>
      </c>
      <c r="H4" s="4" t="inlineStr">
        <is>
          <t>進度狀態</t>
        </is>
      </c>
      <c r="I4" s="4" t="inlineStr">
        <is>
          <t>扣款風險提示</t>
        </is>
      </c>
      <c r="J4" s="4" t="inlineStr">
        <is>
          <t>優先級</t>
        </is>
      </c>
      <c r="K4" s="4" t="inlineStr">
        <is>
          <t>備註 / 注意事項</t>
        </is>
      </c>
      <c r="L4" s="4" t="inlineStr">
        <is>
          <t>完成日期</t>
        </is>
      </c>
      <c r="M4" s="4" t="inlineStr">
        <is>
          <t>備查</t>
        </is>
      </c>
    </row>
    <row r="5" ht="40" customHeight="1">
      <c r="A5" s="5" t="inlineStr">
        <is>
          <t>B-1</t>
        </is>
      </c>
      <c r="B5" s="6" t="inlineStr">
        <is>
          <t>B 論壇規劃</t>
        </is>
      </c>
      <c r="C5" s="7" t="inlineStr">
        <is>
          <t>主題標誌 &amp; 主視覺設計</t>
        </is>
      </c>
      <c r="D5" s="8" t="inlineStr">
        <is>
          <t>以長照3.0政策發展趨勢及失智症/智慧科技照護應用為核心，策劃論壇視覺主題；主題標誌及主視覺設計，提供至少2種以上風格供機關挑選；須經本局同意後始得施行</t>
        </is>
      </c>
      <c r="E5" s="9" t="inlineStr">
        <is>
          <t>決標次日起30日曆天內</t>
        </is>
      </c>
      <c r="F5" s="10" t="inlineStr">
        <is>
          <t>2026/6/15</t>
        </is>
      </c>
      <c r="G5" s="11" t="inlineStr"/>
      <c r="H5" s="12" t="inlineStr">
        <is>
          <t>待辦</t>
        </is>
      </c>
      <c r="I5" s="13" t="inlineStr">
        <is>
          <t>設計提案須≥2款</t>
        </is>
      </c>
      <c r="J5" s="14" t="inlineStr">
        <is>
          <t>高</t>
        </is>
      </c>
      <c r="K5" s="9" t="inlineStr">
        <is>
          <t>須含中英日三語版本；與後續文宣素材共用主視覺</t>
        </is>
      </c>
      <c r="L5" s="11" t="inlineStr"/>
      <c r="M5" s="11" t="inlineStr"/>
    </row>
    <row r="6" ht="52" customHeight="1">
      <c r="A6" s="5" t="inlineStr">
        <is>
          <t>B-2</t>
        </is>
      </c>
      <c r="B6" s="6" t="inlineStr">
        <is>
          <t>B 論壇規劃</t>
        </is>
      </c>
      <c r="C6" s="7" t="inlineStr">
        <is>
          <t>宣傳海報 / 布條 / 旗幟設計製作</t>
        </is>
      </c>
      <c r="D6" s="8" t="inlineStr">
        <is>
          <t>設計、製作、郵寄及懸掛論壇宣傳海報、布條或旗幟（含旗桿及旗座）；至少寄送全國各縣市政府及中部醫療院所至少50處（中彰投、新竹縣市、苗栗縣、嘉義縣市轄內地區級以上醫院）</t>
        </is>
      </c>
      <c r="E6" s="9" t="inlineStr">
        <is>
          <t>決標次日起30日曆天內</t>
        </is>
      </c>
      <c r="F6" s="10" t="inlineStr">
        <is>
          <t>2026/6/15</t>
        </is>
      </c>
      <c r="G6" s="11" t="inlineStr"/>
      <c r="H6" s="12" t="inlineStr">
        <is>
          <t>待辦</t>
        </is>
      </c>
      <c r="I6" s="13" t="inlineStr">
        <is>
          <t>郵寄清單須建檔備查</t>
        </is>
      </c>
      <c r="J6" s="14" t="inlineStr">
        <is>
          <t>高</t>
        </is>
      </c>
      <c r="K6" s="9" t="inlineStr">
        <is>
          <t>須經本局同意後始得發送；建議與H-1素材同步設計</t>
        </is>
      </c>
      <c r="L6" s="11" t="inlineStr"/>
      <c r="M6" s="11" t="inlineStr"/>
    </row>
    <row r="7" ht="40" customHeight="1">
      <c r="A7" s="5" t="inlineStr">
        <is>
          <t>H-1</t>
        </is>
      </c>
      <c r="B7" s="15" t="inlineStr">
        <is>
          <t>H 文宣設計</t>
        </is>
      </c>
      <c r="C7" s="16" t="inlineStr">
        <is>
          <t>論壇素材設計及輸出</t>
        </is>
      </c>
      <c r="D7" s="8" t="inlineStr">
        <is>
          <t>論壇主題標誌、主視覺設計、宣傳海報、邀請卡及彩色布條等之設計及製作；所有文宣廣告需加註「廣告」二字及揭露機關名稱；須經本局同意後始得發送</t>
        </is>
      </c>
      <c r="E7" s="17" t="inlineStr">
        <is>
          <t>決標次日起30日曆天內</t>
        </is>
      </c>
      <c r="F7" s="10" t="inlineStr">
        <is>
          <t>2026/6/15</t>
        </is>
      </c>
      <c r="G7" s="18" t="inlineStr"/>
      <c r="H7" s="12" t="inlineStr">
        <is>
          <t>待辦</t>
        </is>
      </c>
      <c r="I7" s="13" t="inlineStr">
        <is>
          <t>未加註「廣告」字樣將違規</t>
        </is>
      </c>
      <c r="J7" s="14" t="inlineStr">
        <is>
          <t>高</t>
        </is>
      </c>
      <c r="K7" s="17" t="inlineStr">
        <is>
          <t>可與B-2共用同一主視覺設計稿</t>
        </is>
      </c>
      <c r="L7" s="18" t="inlineStr"/>
      <c r="M7" s="18" t="inlineStr"/>
    </row>
    <row r="8" ht="40" customHeight="1">
      <c r="A8" s="5" t="inlineStr">
        <is>
          <t>H-2</t>
        </is>
      </c>
      <c r="B8" s="15" t="inlineStr">
        <is>
          <t>H 文宣設計</t>
        </is>
      </c>
      <c r="C8" s="16" t="inlineStr">
        <is>
          <t>會議手冊設計</t>
        </is>
      </c>
      <c r="D8" s="8" t="inlineStr">
        <is>
          <t>設計會議手冊（含議程、講師資歷及授課資料等）；可提供電子講義供下載；視需求印製紙本手冊約50份（數量由本局指定）</t>
        </is>
      </c>
      <c r="E8" s="17" t="inlineStr">
        <is>
          <t>決標次日起30日曆天內</t>
        </is>
      </c>
      <c r="F8" s="10" t="inlineStr">
        <is>
          <t>2026/6/15</t>
        </is>
      </c>
      <c r="G8" s="18" t="inlineStr"/>
      <c r="H8" s="12" t="inlineStr">
        <is>
          <t>待辦</t>
        </is>
      </c>
      <c r="I8" s="13" t="inlineStr"/>
      <c r="J8" s="19" t="inlineStr">
        <is>
          <t>中</t>
        </is>
      </c>
      <c r="K8" s="17" t="inlineStr">
        <is>
          <t>紙本數量須待本局確認；電子版須可下載</t>
        </is>
      </c>
      <c r="L8" s="18" t="inlineStr"/>
      <c r="M8" s="18" t="inlineStr"/>
    </row>
    <row r="9" ht="52" customHeight="1">
      <c r="A9" s="5" t="inlineStr">
        <is>
          <t>H-3</t>
        </is>
      </c>
      <c r="B9" s="15" t="inlineStr">
        <is>
          <t>H 文宣設計</t>
        </is>
      </c>
      <c r="C9" s="16" t="inlineStr">
        <is>
          <t>識別證 &amp; 資料袋 &amp; 文宣品</t>
        </is>
      </c>
      <c r="D9" s="8" t="inlineStr">
        <is>
          <t>識別證設計及印製（含吊繩）至少300份；明顯區分貴賓/講師/學員/工作人員身份；主題文宣品及資料袋設計及製作共300份（至少提供7款文宣品供本局選擇）；手提袋可容納論壇手冊/識別證/衛教品等</t>
        </is>
      </c>
      <c r="E9" s="17" t="inlineStr">
        <is>
          <t>決標次日起30日曆天內（提報）
論壇前1日（送達）</t>
        </is>
      </c>
      <c r="F9" s="10" t="inlineStr">
        <is>
          <t>2026/6/15（提報）
2026/7/2（送達）</t>
        </is>
      </c>
      <c r="G9" s="18" t="inlineStr"/>
      <c r="H9" s="12" t="inlineStr">
        <is>
          <t>待辦</t>
        </is>
      </c>
      <c r="I9" s="20" t="inlineStr">
        <is>
          <t>★ 禮品獎狀須於7/2送達會場</t>
        </is>
      </c>
      <c r="J9" s="14" t="inlineStr">
        <is>
          <t>高</t>
        </is>
      </c>
      <c r="K9" s="17" t="inlineStr">
        <is>
          <t>兩個截止日：6/15提報設計稿、7/2實體送達會場</t>
        </is>
      </c>
      <c r="L9" s="18" t="inlineStr"/>
      <c r="M9" s="18" t="inlineStr"/>
    </row>
    <row r="10" ht="40" customHeight="1">
      <c r="A10" s="5" t="inlineStr">
        <is>
          <t>H-4</t>
        </is>
      </c>
      <c r="B10" s="15" t="inlineStr">
        <is>
          <t>H 文宣設計</t>
        </is>
      </c>
      <c r="C10" s="16" t="inlineStr">
        <is>
          <t>邀請卡（中英日文）</t>
        </is>
      </c>
      <c r="D10" s="8" t="inlineStr">
        <is>
          <t>中英日文邀請卡（含信封）100份</t>
        </is>
      </c>
      <c r="E10" s="17" t="inlineStr">
        <is>
          <t>決標次日起30日曆天內</t>
        </is>
      </c>
      <c r="F10" s="10" t="inlineStr">
        <is>
          <t>2026/6/15</t>
        </is>
      </c>
      <c r="G10" s="18" t="inlineStr"/>
      <c r="H10" s="12" t="inlineStr">
        <is>
          <t>待辦</t>
        </is>
      </c>
      <c r="I10" s="13" t="inlineStr"/>
      <c r="J10" s="19" t="inlineStr">
        <is>
          <t>中</t>
        </is>
      </c>
      <c r="K10" s="17" t="inlineStr">
        <is>
          <t>需三語版本；需對應邀請名單</t>
        </is>
      </c>
      <c r="L10" s="18" t="inlineStr"/>
      <c r="M10" s="18" t="inlineStr"/>
    </row>
    <row r="11" ht="40" customHeight="1">
      <c r="A11" s="5" t="inlineStr">
        <is>
          <t>J-1</t>
        </is>
      </c>
      <c r="B11" s="21" t="inlineStr">
        <is>
          <t>J 活動推廣</t>
        </is>
      </c>
      <c r="C11" s="22" t="inlineStr">
        <is>
          <t>報紙廣告（論壇前 ≥2則）</t>
        </is>
      </c>
      <c r="D11" s="8" t="inlineStr">
        <is>
          <t>於三大報（中國時報、聯合報或自由時報）刊登論壇資訊至少2則推廣資訊；至遲應於活動開始前一週刊登</t>
        </is>
      </c>
      <c r="E11" s="23" t="inlineStr">
        <is>
          <t>論壇前14個日曆天完成刊登（最遲活動前1週）</t>
        </is>
      </c>
      <c r="F11" s="10" t="inlineStr">
        <is>
          <t>2026/6/19</t>
        </is>
      </c>
      <c r="G11" s="24" t="inlineStr"/>
      <c r="H11" s="12" t="inlineStr">
        <is>
          <t>待辦</t>
        </is>
      </c>
      <c r="I11" s="20" t="inlineStr">
        <is>
          <t>★ 未達2則，每不足1則扣2萬元</t>
        </is>
      </c>
      <c r="J11" s="14" t="inlineStr">
        <is>
          <t>高</t>
        </is>
      </c>
      <c r="K11" s="23" t="inlineStr">
        <is>
          <t>論壇後另須於三大報刊至少1則新聞稿（見J-2）</t>
        </is>
      </c>
      <c r="L11" s="24" t="inlineStr"/>
      <c r="M11" s="24" t="inlineStr"/>
    </row>
    <row r="12" ht="40" customHeight="1">
      <c r="A12" s="5" t="inlineStr">
        <is>
          <t>J-2</t>
        </is>
      </c>
      <c r="B12" s="21" t="inlineStr">
        <is>
          <t>J 活動推廣</t>
        </is>
      </c>
      <c r="C12" s="22" t="inlineStr">
        <is>
          <t>報紙新聞稿（論壇後 ≥1則）</t>
        </is>
      </c>
      <c r="D12" s="8" t="inlineStr">
        <is>
          <t>論壇舉辦後於三大報紙刊至少1則論壇新聞稿</t>
        </is>
      </c>
      <c r="E12" s="23" t="inlineStr">
        <is>
          <t>論壇後儘速刊登</t>
        </is>
      </c>
      <c r="F12" s="10" t="inlineStr">
        <is>
          <t>2026/7/3 後儘速</t>
        </is>
      </c>
      <c r="G12" s="24" t="inlineStr"/>
      <c r="H12" s="12" t="inlineStr">
        <is>
          <t>待辦</t>
        </is>
      </c>
      <c r="I12" s="20" t="inlineStr">
        <is>
          <t>★ 未達1篇扣1萬元</t>
        </is>
      </c>
      <c r="J12" s="14" t="inlineStr">
        <is>
          <t>高</t>
        </is>
      </c>
      <c r="K12" s="23" t="inlineStr">
        <is>
          <t>配合L-1活動當日新聞稿同步發送</t>
        </is>
      </c>
      <c r="L12" s="24" t="inlineStr"/>
      <c r="M12" s="24" t="inlineStr"/>
    </row>
    <row r="13" ht="52" customHeight="1">
      <c r="A13" s="5" t="inlineStr">
        <is>
          <t>J-3</t>
        </is>
      </c>
      <c r="B13" s="21" t="inlineStr">
        <is>
          <t>J 活動推廣</t>
        </is>
      </c>
      <c r="C13" s="22" t="inlineStr">
        <is>
          <t>數位廣編稿（≥10則 / ≥200萬人次）</t>
        </is>
      </c>
      <c r="D13" s="8" t="inlineStr">
        <is>
          <t>於媒體及相關數位平台曝光至少10則；其中至少2篇包含長照3.0政策及失智症相關議題專題報導；總曝光數或觸及人數至少達200萬人次；須於長照或失智症照護相關粉絲頁曝光</t>
        </is>
      </c>
      <c r="E13" s="23" t="inlineStr">
        <is>
          <t>論壇前14個日曆天前完成發布</t>
        </is>
      </c>
      <c r="F13" s="10" t="inlineStr">
        <is>
          <t>2026/6/19</t>
        </is>
      </c>
      <c r="G13" s="24" t="inlineStr"/>
      <c r="H13" s="12" t="inlineStr">
        <is>
          <t>待辦</t>
        </is>
      </c>
      <c r="I13" s="20" t="inlineStr">
        <is>
          <t>★ 每不足1則扣1萬元；未達200萬人次以20%契約價金為限扣減</t>
        </is>
      </c>
      <c r="J13" s="14" t="inlineStr">
        <is>
          <t>高</t>
        </is>
      </c>
      <c r="K13" s="23" t="inlineStr">
        <is>
          <t>建立追蹤表：媒體名稱、發布日期、曝光數、連結</t>
        </is>
      </c>
      <c r="L13" s="24" t="inlineStr"/>
      <c r="M13" s="24" t="inlineStr"/>
    </row>
    <row r="14" ht="40" customHeight="1">
      <c r="A14" s="5" t="inlineStr">
        <is>
          <t>J-4</t>
        </is>
      </c>
      <c r="B14" s="21" t="inlineStr">
        <is>
          <t>J 活動推廣</t>
        </is>
      </c>
      <c r="C14" s="22" t="inlineStr">
        <is>
          <t>電視牆 / 電子看板（≥4,000檔次）</t>
        </is>
      </c>
      <c r="D14" s="8" t="inlineStr">
        <is>
          <t>台中市戶外電視牆/電子看板廣告；至少包含2處場域合計至少4,000檔次</t>
        </is>
      </c>
      <c r="E14" s="23" t="inlineStr">
        <is>
          <t>論壇前14個日曆天前完成</t>
        </is>
      </c>
      <c r="F14" s="10" t="inlineStr">
        <is>
          <t>2026/6/19</t>
        </is>
      </c>
      <c r="G14" s="24" t="inlineStr"/>
      <c r="H14" s="12" t="inlineStr">
        <is>
          <t>待辦</t>
        </is>
      </c>
      <c r="I14" s="20" t="inlineStr">
        <is>
          <t>★ 每不足1檔次扣1,000元；以20%契約價金為限</t>
        </is>
      </c>
      <c r="J14" s="14" t="inlineStr">
        <is>
          <t>高</t>
        </is>
      </c>
      <c r="K14" s="23" t="inlineStr">
        <is>
          <t>需取得每個場域播出紀錄作為驗收憑證</t>
        </is>
      </c>
      <c r="L14" s="24" t="inlineStr"/>
      <c r="M14" s="24" t="inlineStr"/>
    </row>
    <row r="15" ht="52" customHeight="1">
      <c r="A15" s="5" t="inlineStr">
        <is>
          <t>J-5</t>
        </is>
      </c>
      <c r="B15" s="21" t="inlineStr">
        <is>
          <t>J 活動推廣</t>
        </is>
      </c>
      <c r="C15" s="22" t="inlineStr">
        <is>
          <t>網路關鍵字廣告（≥20則）</t>
        </is>
      </c>
      <c r="D15" s="8" t="inlineStr">
        <is>
          <t>於Yahoo、Google等搜尋引擎入口或Facebook、YouTube、Instagram等社群網站上架設活動連結廣告及關鍵字連結廣告；以電子報或刊登網路廣告至少20則宣傳論壇訊息</t>
        </is>
      </c>
      <c r="E15" s="23" t="inlineStr">
        <is>
          <t>論壇前30個日曆天完成</t>
        </is>
      </c>
      <c r="F15" s="10" t="inlineStr">
        <is>
          <t>2026/6/3（論壇前30天）</t>
        </is>
      </c>
      <c r="G15" s="24" t="inlineStr"/>
      <c r="H15" s="12" t="inlineStr">
        <is>
          <t>待辦</t>
        </is>
      </c>
      <c r="I15" s="20" t="inlineStr">
        <is>
          <t>★ 每不足1則扣1,000元；以20%契約價金為限</t>
        </is>
      </c>
      <c r="J15" s="14" t="inlineStr">
        <is>
          <t>高</t>
        </is>
      </c>
      <c r="K15" s="23" t="inlineStr">
        <is>
          <t>⚠ 截止日為6/3，早於其他廣告媒體；須優先啟動</t>
        </is>
      </c>
      <c r="L15" s="24" t="inlineStr"/>
      <c r="M15" s="24" t="inlineStr"/>
    </row>
    <row r="16" ht="40" customHeight="1">
      <c r="A16" s="5" t="inlineStr">
        <is>
          <t>L-1</t>
        </is>
      </c>
      <c r="B16" s="25" t="inlineStr">
        <is>
          <t>L 活動當日</t>
        </is>
      </c>
      <c r="C16" s="26" t="inlineStr">
        <is>
          <t>照片 15–20張 + 新聞稿</t>
        </is>
      </c>
      <c r="D16" s="8" t="inlineStr">
        <is>
          <t>現場備有立即剪輯影像器材及即時影像處理能力之人員至少1名；活動當日中午前提供15至20張活動照片及新聞稿</t>
        </is>
      </c>
      <c r="E16" s="27" t="inlineStr">
        <is>
          <t>活動當日中午前</t>
        </is>
      </c>
      <c r="F16" s="10" t="inlineStr">
        <is>
          <t>2026/7/3 當日中午前</t>
        </is>
      </c>
      <c r="G16" s="28" t="inlineStr"/>
      <c r="H16" s="12" t="inlineStr">
        <is>
          <t>待辦</t>
        </is>
      </c>
      <c r="I16" s="13" t="inlineStr"/>
      <c r="J16" s="14" t="inlineStr">
        <is>
          <t>高</t>
        </is>
      </c>
      <c r="K16" s="27" t="inlineStr">
        <is>
          <t>需事先備妥新聞稿模板（留空發言人引言）；配合J-2報紙新聞稿同步發送</t>
        </is>
      </c>
      <c r="L16" s="28" t="inlineStr"/>
      <c r="M16" s="28" t="inlineStr"/>
    </row>
    <row r="17" ht="40" customHeight="1">
      <c r="A17" s="5" t="inlineStr">
        <is>
          <t>L-2</t>
        </is>
      </c>
      <c r="B17" s="25" t="inlineStr">
        <is>
          <t>L 活動當日</t>
        </is>
      </c>
      <c r="C17" s="26" t="inlineStr">
        <is>
          <t>成果宣傳影片現場剪輯</t>
        </is>
      </c>
      <c r="D17" s="8" t="inlineStr">
        <is>
          <t>現場剪輯，於晚宴時播放當日活動花絮；提供1支剪輯3分鐘成果宣傳影片</t>
        </is>
      </c>
      <c r="E17" s="27" t="inlineStr">
        <is>
          <t>活動當日晚宴時</t>
        </is>
      </c>
      <c r="F17" s="10" t="inlineStr">
        <is>
          <t>2026/7/3 當日晚宴</t>
        </is>
      </c>
      <c r="G17" s="28" t="inlineStr"/>
      <c r="H17" s="12" t="inlineStr">
        <is>
          <t>待辦</t>
        </is>
      </c>
      <c r="I17" s="13" t="inlineStr"/>
      <c r="J17" s="19" t="inlineStr">
        <is>
          <t>中</t>
        </is>
      </c>
      <c r="K17" s="27" t="inlineStr">
        <is>
          <t>需事先確認晚宴播放設備與格式（MP4/1080P）</t>
        </is>
      </c>
      <c r="L17" s="28" t="inlineStr"/>
      <c r="M17" s="28" t="inlineStr"/>
    </row>
    <row r="18" ht="52" customHeight="1">
      <c r="A18" s="5" t="inlineStr">
        <is>
          <t>M-1</t>
        </is>
      </c>
      <c r="B18" s="29" t="inlineStr">
        <is>
          <t>M 成果驗收</t>
        </is>
      </c>
      <c r="C18" s="30" t="inlineStr">
        <is>
          <t>長照服務推展系列影片製作</t>
        </is>
      </c>
      <c r="D18" s="8" t="inlineStr">
        <is>
          <t>活動結束次日起15日曆天內製作長照服務推展系列影片（剪輯為至少10分鐘之精華片段影音檔）；透過多元管道推廣長照服務，再次於社群平台上播送；上刊平台及影片內容皆須經本局同意後執行</t>
        </is>
      </c>
      <c r="E18" s="31" t="inlineStr">
        <is>
          <t>活動結束次日起15日曆天內</t>
        </is>
      </c>
      <c r="F18" s="10" t="inlineStr">
        <is>
          <t>2026/7/19（7/4起+15天）</t>
        </is>
      </c>
      <c r="G18" s="32" t="inlineStr"/>
      <c r="H18" s="12" t="inlineStr">
        <is>
          <t>待辦</t>
        </is>
      </c>
      <c r="I18" s="20" t="inlineStr">
        <is>
          <t>★ 未達扣契約價金1萬元</t>
        </is>
      </c>
      <c r="J18" s="14" t="inlineStr">
        <is>
          <t>高</t>
        </is>
      </c>
      <c r="K18" s="31" t="inlineStr">
        <is>
          <t>須先取得本局同意；建議7/10前提交初剪供審閱</t>
        </is>
      </c>
      <c r="L18" s="32" t="inlineStr"/>
      <c r="M18" s="32" t="inlineStr"/>
    </row>
    <row r="19" ht="20" customHeight="1">
      <c r="A19" s="33">
        <f>COUNTA(H5:H18)&amp;" 項任務 | 完成："&amp;COUNTIF(H5:H18,"完成")&amp;" | 待辦："&amp;COUNTIF(H5:H18,"待辦")&amp;" | 進行中："&amp;COUNTIF(H5:H18,"進行中")</f>
        <v/>
      </c>
      <c r="G19" s="34" t="n"/>
      <c r="H19" s="34" t="n"/>
      <c r="I19" s="34" t="n"/>
      <c r="J19" s="34" t="n"/>
      <c r="K19" s="34" t="n"/>
      <c r="L19" s="34" t="n"/>
      <c r="M19" s="34" t="n"/>
    </row>
  </sheetData>
  <mergeCells count="4">
    <mergeCell ref="A19:F19"/>
    <mergeCell ref="A3:M3"/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42" customWidth="1" min="4" max="4"/>
    <col width="7" customWidth="1" min="5" max="5"/>
    <col width="28" customWidth="1" min="6" max="6"/>
    <col width="9" customWidth="1" min="7" max="7"/>
    <col width="8" customWidth="1" min="8" max="8"/>
    <col width="8" customWidth="1" min="9" max="9"/>
    <col width="8" customWidth="1" min="10" max="10"/>
  </cols>
  <sheetData>
    <row r="1" ht="36" customHeight="1">
      <c r="A1" s="35" t="inlineStr">
        <is>
          <t>公傳室工作時程甘特  |  2026臺中長照台日論壇（案號115B17）</t>
        </is>
      </c>
    </row>
    <row r="2" ht="24" customHeight="1">
      <c r="A2" s="36" t="inlineStr">
        <is>
          <t>截止日期</t>
        </is>
      </c>
      <c r="B2" s="36" t="inlineStr">
        <is>
          <t>里程碑 / 工作項目</t>
        </is>
      </c>
      <c r="C2" s="36" t="inlineStr">
        <is>
          <t>工作分類</t>
        </is>
      </c>
      <c r="D2" s="36" t="inlineStr">
        <is>
          <t>說明</t>
        </is>
      </c>
      <c r="E2" s="36" t="inlineStr">
        <is>
          <t>優先級</t>
        </is>
      </c>
      <c r="F2" s="36" t="inlineStr">
        <is>
          <t>扣款提示</t>
        </is>
      </c>
      <c r="G2" s="36" t="inlineStr">
        <is>
          <t>狀態</t>
        </is>
      </c>
      <c r="H2" s="36" t="inlineStr">
        <is>
          <t>5月</t>
        </is>
      </c>
      <c r="I2" s="36" t="inlineStr">
        <is>
          <t>6月</t>
        </is>
      </c>
      <c r="J2" s="36" t="inlineStr">
        <is>
          <t>7月</t>
        </is>
      </c>
    </row>
    <row r="3" ht="32" customHeight="1">
      <c r="A3" s="10" t="inlineStr">
        <is>
          <t>⚠ 2026/5/14</t>
        </is>
      </c>
      <c r="B3" s="37" t="inlineStr">
        <is>
          <t>★ 得標日</t>
        </is>
      </c>
      <c r="C3" s="38" t="inlineStr">
        <is>
          <t>—</t>
        </is>
      </c>
      <c r="D3" s="39" t="inlineStr">
        <is>
          <t>確定得標，啟動所有籌備工作</t>
        </is>
      </c>
      <c r="E3" s="14" t="inlineStr">
        <is>
          <t>高</t>
        </is>
      </c>
      <c r="F3" s="40" t="inlineStr"/>
      <c r="G3" s="41" t="inlineStr">
        <is>
          <t>完成</t>
        </is>
      </c>
      <c r="H3" s="42" t="inlineStr">
        <is>
          <t>▓</t>
        </is>
      </c>
      <c r="I3" s="43" t="inlineStr"/>
      <c r="J3" s="43" t="inlineStr"/>
    </row>
    <row r="4" ht="32" customHeight="1">
      <c r="A4" s="10" t="inlineStr">
        <is>
          <t>2026/6/3</t>
        </is>
      </c>
      <c r="B4" s="44" t="inlineStr">
        <is>
          <t>網路關鍵字廣告上線（J-5）</t>
        </is>
      </c>
      <c r="C4" s="45" t="inlineStr">
        <is>
          <t>J 活動推廣</t>
        </is>
      </c>
      <c r="D4" s="39" t="inlineStr">
        <is>
          <t>≥20則；論壇前30天截止；⚠ 最早的廣告截止日</t>
        </is>
      </c>
      <c r="E4" s="14" t="inlineStr">
        <is>
          <t>高</t>
        </is>
      </c>
      <c r="F4" s="46" t="inlineStr">
        <is>
          <t>★ 每不足1則扣1,000元</t>
        </is>
      </c>
      <c r="G4" s="47" t="inlineStr">
        <is>
          <t>待辦</t>
        </is>
      </c>
      <c r="H4" s="42" t="inlineStr">
        <is>
          <t>░░▓</t>
        </is>
      </c>
      <c r="I4" s="42" t="inlineStr">
        <is>
          <t>▓</t>
        </is>
      </c>
      <c r="J4" s="43" t="inlineStr"/>
    </row>
    <row r="5" ht="32" customHeight="1">
      <c r="A5" s="10" t="inlineStr">
        <is>
          <t>2026/6/15</t>
        </is>
      </c>
      <c r="B5" s="44" t="inlineStr">
        <is>
          <t>主視覺設計提案（B-1）</t>
        </is>
      </c>
      <c r="C5" s="45" t="inlineStr">
        <is>
          <t>B 論壇規劃</t>
        </is>
      </c>
      <c r="D5" s="39" t="inlineStr">
        <is>
          <t>≥2款風格提案送局方審核</t>
        </is>
      </c>
      <c r="E5" s="14" t="inlineStr">
        <is>
          <t>高</t>
        </is>
      </c>
      <c r="F5" s="40" t="inlineStr">
        <is>
          <t>須局方同意</t>
        </is>
      </c>
      <c r="G5" s="47" t="inlineStr">
        <is>
          <t>待辦</t>
        </is>
      </c>
      <c r="H5" s="42" t="inlineStr">
        <is>
          <t>░░▓</t>
        </is>
      </c>
      <c r="I5" s="42" t="inlineStr">
        <is>
          <t>▓</t>
        </is>
      </c>
      <c r="J5" s="43" t="inlineStr"/>
    </row>
    <row r="6" ht="32" customHeight="1">
      <c r="A6" s="10" t="inlineStr">
        <is>
          <t>2026/6/15</t>
        </is>
      </c>
      <c r="B6" s="44" t="inlineStr">
        <is>
          <t>宣傳海報/布條設計製作（B-2）</t>
        </is>
      </c>
      <c r="C6" s="45" t="inlineStr">
        <is>
          <t>B 論壇規劃</t>
        </is>
      </c>
      <c r="D6" s="39" t="inlineStr">
        <is>
          <t>設計稿完成、印製、郵寄≥50處</t>
        </is>
      </c>
      <c r="E6" s="14" t="inlineStr">
        <is>
          <t>高</t>
        </is>
      </c>
      <c r="F6" s="40" t="inlineStr">
        <is>
          <t>須局方同意後發送</t>
        </is>
      </c>
      <c r="G6" s="47" t="inlineStr">
        <is>
          <t>待辦</t>
        </is>
      </c>
      <c r="H6" s="42" t="inlineStr">
        <is>
          <t>░░▓</t>
        </is>
      </c>
      <c r="I6" s="42" t="inlineStr">
        <is>
          <t>▓</t>
        </is>
      </c>
      <c r="J6" s="43" t="inlineStr"/>
    </row>
    <row r="7" ht="32" customHeight="1">
      <c r="A7" s="10" t="inlineStr">
        <is>
          <t>2026/6/15</t>
        </is>
      </c>
      <c r="B7" s="44" t="inlineStr">
        <is>
          <t>論壇素材設計輸出（H-1）</t>
        </is>
      </c>
      <c r="C7" s="45" t="inlineStr">
        <is>
          <t>H 文宣設計</t>
        </is>
      </c>
      <c r="D7" s="39" t="inlineStr">
        <is>
          <t>主視覺、海報、邀請卡、布條設計完成</t>
        </is>
      </c>
      <c r="E7" s="14" t="inlineStr">
        <is>
          <t>高</t>
        </is>
      </c>
      <c r="F7" s="40" t="inlineStr">
        <is>
          <t>須加註「廣告」字樣</t>
        </is>
      </c>
      <c r="G7" s="47" t="inlineStr">
        <is>
          <t>待辦</t>
        </is>
      </c>
      <c r="H7" s="42" t="inlineStr">
        <is>
          <t>░░▓</t>
        </is>
      </c>
      <c r="I7" s="42" t="inlineStr">
        <is>
          <t>▓</t>
        </is>
      </c>
      <c r="J7" s="43" t="inlineStr"/>
    </row>
    <row r="8" ht="32" customHeight="1">
      <c r="A8" s="10" t="inlineStr">
        <is>
          <t>2026/6/15</t>
        </is>
      </c>
      <c r="B8" s="44" t="inlineStr">
        <is>
          <t>會議手冊設計（H-2）</t>
        </is>
      </c>
      <c r="C8" s="45" t="inlineStr">
        <is>
          <t>H 文宣設計</t>
        </is>
      </c>
      <c r="D8" s="39" t="inlineStr">
        <is>
          <t>設計稿完成，待局方確認印量</t>
        </is>
      </c>
      <c r="E8" s="19" t="inlineStr">
        <is>
          <t>中</t>
        </is>
      </c>
      <c r="F8" s="40" t="inlineStr"/>
      <c r="G8" s="47" t="inlineStr">
        <is>
          <t>待辦</t>
        </is>
      </c>
      <c r="H8" s="42" t="inlineStr">
        <is>
          <t>░░▓</t>
        </is>
      </c>
      <c r="I8" s="42" t="inlineStr">
        <is>
          <t>▓</t>
        </is>
      </c>
      <c r="J8" s="43" t="inlineStr"/>
    </row>
    <row r="9" ht="32" customHeight="1">
      <c r="A9" s="10" t="inlineStr">
        <is>
          <t>2026/6/15</t>
        </is>
      </c>
      <c r="B9" s="44" t="inlineStr">
        <is>
          <t>識別證 &amp; 資料袋提報（H-3）</t>
        </is>
      </c>
      <c r="C9" s="45" t="inlineStr">
        <is>
          <t>H 文宣設計</t>
        </is>
      </c>
      <c r="D9" s="39" t="inlineStr">
        <is>
          <t>設計稿提報（實體7/2前送達）</t>
        </is>
      </c>
      <c r="E9" s="14" t="inlineStr">
        <is>
          <t>高</t>
        </is>
      </c>
      <c r="F9" s="46" t="inlineStr">
        <is>
          <t>★ 7/2送達</t>
        </is>
      </c>
      <c r="G9" s="47" t="inlineStr">
        <is>
          <t>待辦</t>
        </is>
      </c>
      <c r="H9" s="42" t="inlineStr">
        <is>
          <t>░░▓</t>
        </is>
      </c>
      <c r="I9" s="42" t="inlineStr">
        <is>
          <t>▓</t>
        </is>
      </c>
      <c r="J9" s="43" t="inlineStr"/>
    </row>
    <row r="10" ht="32" customHeight="1">
      <c r="A10" s="10" t="inlineStr">
        <is>
          <t>2026/6/15</t>
        </is>
      </c>
      <c r="B10" s="44" t="inlineStr">
        <is>
          <t>邀請卡（H-4）</t>
        </is>
      </c>
      <c r="C10" s="45" t="inlineStr">
        <is>
          <t>H 文宣設計</t>
        </is>
      </c>
      <c r="D10" s="39" t="inlineStr">
        <is>
          <t>中英日文邀請卡100份</t>
        </is>
      </c>
      <c r="E10" s="19" t="inlineStr">
        <is>
          <t>中</t>
        </is>
      </c>
      <c r="F10" s="40" t="inlineStr"/>
      <c r="G10" s="47" t="inlineStr">
        <is>
          <t>待辦</t>
        </is>
      </c>
      <c r="H10" s="42" t="inlineStr">
        <is>
          <t>░░▓</t>
        </is>
      </c>
      <c r="I10" s="42" t="inlineStr">
        <is>
          <t>▓</t>
        </is>
      </c>
      <c r="J10" s="43" t="inlineStr"/>
    </row>
    <row r="11" ht="32" customHeight="1">
      <c r="A11" s="10" t="inlineStr">
        <is>
          <t>2026/6/19</t>
        </is>
      </c>
      <c r="B11" s="44" t="inlineStr">
        <is>
          <t>報紙廣告刊登 ≥2則（J-1）</t>
        </is>
      </c>
      <c r="C11" s="45" t="inlineStr">
        <is>
          <t>J 活動推廣</t>
        </is>
      </c>
      <c r="D11" s="39" t="inlineStr">
        <is>
          <t>中國時報/聯合報/自由時報任選，論壇前14天</t>
        </is>
      </c>
      <c r="E11" s="14" t="inlineStr">
        <is>
          <t>高</t>
        </is>
      </c>
      <c r="F11" s="46" t="inlineStr">
        <is>
          <t>★ 未達2則，每不足1則扣2萬元</t>
        </is>
      </c>
      <c r="G11" s="47" t="inlineStr">
        <is>
          <t>待辦</t>
        </is>
      </c>
      <c r="H11" s="43" t="inlineStr"/>
      <c r="I11" s="42" t="inlineStr">
        <is>
          <t>░▓</t>
        </is>
      </c>
      <c r="J11" s="43" t="inlineStr"/>
    </row>
    <row r="12" ht="32" customHeight="1">
      <c r="A12" s="10" t="inlineStr">
        <is>
          <t>2026/6/19</t>
        </is>
      </c>
      <c r="B12" s="44" t="inlineStr">
        <is>
          <t>數位廣編稿發布 ≥10則（J-3）</t>
        </is>
      </c>
      <c r="C12" s="45" t="inlineStr">
        <is>
          <t>J 活動推廣</t>
        </is>
      </c>
      <c r="D12" s="39" t="inlineStr">
        <is>
          <t>≥10則；≥2篇含長照3.0/失智症專題；≥200萬人次</t>
        </is>
      </c>
      <c r="E12" s="14" t="inlineStr">
        <is>
          <t>高</t>
        </is>
      </c>
      <c r="F12" s="46" t="inlineStr">
        <is>
          <t>★ 每不足1則扣1萬元；200萬人次20%上限</t>
        </is>
      </c>
      <c r="G12" s="47" t="inlineStr">
        <is>
          <t>待辦</t>
        </is>
      </c>
      <c r="H12" s="43" t="inlineStr"/>
      <c r="I12" s="42" t="inlineStr">
        <is>
          <t>░▓</t>
        </is>
      </c>
      <c r="J12" s="43" t="inlineStr"/>
    </row>
    <row r="13" ht="32" customHeight="1">
      <c r="A13" s="10" t="inlineStr">
        <is>
          <t>2026/6/19</t>
        </is>
      </c>
      <c r="B13" s="44" t="inlineStr">
        <is>
          <t>電視牆/看板廣告 ≥4,000檔（J-4）</t>
        </is>
      </c>
      <c r="C13" s="45" t="inlineStr">
        <is>
          <t>J 活動推廣</t>
        </is>
      </c>
      <c r="D13" s="39" t="inlineStr">
        <is>
          <t>台中市≥2場域；論壇前14天完成</t>
        </is>
      </c>
      <c r="E13" s="14" t="inlineStr">
        <is>
          <t>高</t>
        </is>
      </c>
      <c r="F13" s="46" t="inlineStr">
        <is>
          <t>★ 每不足1檔次扣1,000元；20%上限</t>
        </is>
      </c>
      <c r="G13" s="47" t="inlineStr">
        <is>
          <t>待辦</t>
        </is>
      </c>
      <c r="H13" s="43" t="inlineStr"/>
      <c r="I13" s="42" t="inlineStr">
        <is>
          <t>░▓</t>
        </is>
      </c>
      <c r="J13" s="43" t="inlineStr"/>
    </row>
    <row r="14" ht="32" customHeight="1">
      <c r="A14" s="10" t="inlineStr">
        <is>
          <t>2026/7/2</t>
        </is>
      </c>
      <c r="B14" s="44" t="inlineStr">
        <is>
          <t>識別證 &amp; 文宣品送達會場（H-3）</t>
        </is>
      </c>
      <c r="C14" s="45" t="inlineStr">
        <is>
          <t>H 文宣設計</t>
        </is>
      </c>
      <c r="D14" s="39" t="inlineStr">
        <is>
          <t>識別證300份 + 資料袋300份 + 7款文宣品送達</t>
        </is>
      </c>
      <c r="E14" s="14" t="inlineStr">
        <is>
          <t>高</t>
        </is>
      </c>
      <c r="F14" s="46" t="inlineStr">
        <is>
          <t>★ 7/2 23:59前送達</t>
        </is>
      </c>
      <c r="G14" s="47" t="inlineStr">
        <is>
          <t>待辦</t>
        </is>
      </c>
      <c r="H14" s="43" t="inlineStr"/>
      <c r="I14" s="43" t="inlineStr"/>
      <c r="J14" s="42" t="inlineStr">
        <is>
          <t>▓</t>
        </is>
      </c>
    </row>
    <row r="15" ht="40" customHeight="1">
      <c r="A15" s="10" t="inlineStr">
        <is>
          <t>2026/7/3
（中午前）</t>
        </is>
      </c>
      <c r="B15" s="44" t="inlineStr">
        <is>
          <t>照片15-20張 + 新聞稿（L-1）</t>
        </is>
      </c>
      <c r="C15" s="45" t="inlineStr">
        <is>
          <t>L 活動當日</t>
        </is>
      </c>
      <c r="D15" s="39" t="inlineStr">
        <is>
          <t>現場即時拍攝並整理，中午前交付</t>
        </is>
      </c>
      <c r="E15" s="14" t="inlineStr">
        <is>
          <t>高</t>
        </is>
      </c>
      <c r="F15" s="40" t="inlineStr"/>
      <c r="G15" s="47" t="inlineStr">
        <is>
          <t>待辦</t>
        </is>
      </c>
      <c r="H15" s="43" t="inlineStr"/>
      <c r="I15" s="43" t="inlineStr"/>
      <c r="J15" s="42" t="inlineStr">
        <is>
          <t>▓</t>
        </is>
      </c>
    </row>
    <row r="16" ht="40" customHeight="1">
      <c r="A16" s="10" t="inlineStr">
        <is>
          <t>2026/7/3
（晚宴）</t>
        </is>
      </c>
      <c r="B16" s="44" t="inlineStr">
        <is>
          <t>成果宣傳影片3分鐘（L-2）</t>
        </is>
      </c>
      <c r="C16" s="45" t="inlineStr">
        <is>
          <t>L 活動當日</t>
        </is>
      </c>
      <c r="D16" s="39" t="inlineStr">
        <is>
          <t>現場剪輯，晚宴時播放</t>
        </is>
      </c>
      <c r="E16" s="19" t="inlineStr">
        <is>
          <t>中</t>
        </is>
      </c>
      <c r="F16" s="40" t="inlineStr"/>
      <c r="G16" s="47" t="inlineStr">
        <is>
          <t>待辦</t>
        </is>
      </c>
      <c r="H16" s="43" t="inlineStr"/>
      <c r="I16" s="43" t="inlineStr"/>
      <c r="J16" s="42" t="inlineStr">
        <is>
          <t>▓</t>
        </is>
      </c>
    </row>
    <row r="17" ht="40" customHeight="1">
      <c r="A17" s="10" t="inlineStr">
        <is>
          <t>2026/7/3
（後儘速）</t>
        </is>
      </c>
      <c r="B17" s="44" t="inlineStr">
        <is>
          <t>報紙新聞稿 ≥1則（J-2）</t>
        </is>
      </c>
      <c r="C17" s="45" t="inlineStr">
        <is>
          <t>J 活動推廣</t>
        </is>
      </c>
      <c r="D17" s="39" t="inlineStr">
        <is>
          <t>論壇後儘速於三大報刊登</t>
        </is>
      </c>
      <c r="E17" s="14" t="inlineStr">
        <is>
          <t>高</t>
        </is>
      </c>
      <c r="F17" s="46" t="inlineStr">
        <is>
          <t>★ 未達1篇扣1萬元</t>
        </is>
      </c>
      <c r="G17" s="47" t="inlineStr">
        <is>
          <t>待辦</t>
        </is>
      </c>
      <c r="H17" s="43" t="inlineStr"/>
      <c r="I17" s="43" t="inlineStr"/>
      <c r="J17" s="42" t="inlineStr">
        <is>
          <t>▓</t>
        </is>
      </c>
    </row>
    <row r="18" ht="32" customHeight="1">
      <c r="A18" s="10" t="inlineStr">
        <is>
          <t>2026/7/19</t>
        </is>
      </c>
      <c r="B18" s="44" t="inlineStr">
        <is>
          <t>長照系列影片完成（M-1）</t>
        </is>
      </c>
      <c r="C18" s="45" t="inlineStr">
        <is>
          <t>M 成果驗收</t>
        </is>
      </c>
      <c r="D18" s="39" t="inlineStr">
        <is>
          <t>≥10分鐘精華影片；社群再推播；須局方同意</t>
        </is>
      </c>
      <c r="E18" s="14" t="inlineStr">
        <is>
          <t>高</t>
        </is>
      </c>
      <c r="F18" s="46" t="inlineStr">
        <is>
          <t>★ 未達扣1萬元</t>
        </is>
      </c>
      <c r="G18" s="47" t="inlineStr">
        <is>
          <t>待辦</t>
        </is>
      </c>
      <c r="H18" s="43" t="inlineStr"/>
      <c r="I18" s="43" t="inlineStr"/>
      <c r="J18" s="42" t="inlineStr">
        <is>
          <t>░▓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32" customWidth="1" min="4" max="4"/>
    <col width="18" customWidth="1" min="5" max="5"/>
    <col width="36" customWidth="1" min="6" max="6"/>
    <col width="9" customWidth="1" min="7" max="7"/>
  </cols>
  <sheetData>
    <row r="1" ht="32" customHeight="1">
      <c r="A1" s="48" t="inlineStr">
        <is>
          <t>⚠ 扣款風險清單  |  公傳室負責範疇  |  2026臺中長照台日論壇（案號115B17）</t>
        </is>
      </c>
    </row>
    <row r="2" ht="20" customHeight="1">
      <c r="A2" s="49" t="inlineStr">
        <is>
          <t>以下扣款均為公傳室主要負責事項，任一未達標即觸發扣款機制，請逐一確認執行並留存憑證。</t>
        </is>
      </c>
    </row>
    <row r="3" ht="24" customHeight="1">
      <c r="A3" s="50" t="inlineStr">
        <is>
          <t>序號</t>
        </is>
      </c>
      <c r="B3" s="50" t="inlineStr">
        <is>
          <t>扣款項目（公傳室）</t>
        </is>
      </c>
      <c r="C3" s="50" t="inlineStr">
        <is>
          <t>標規依據</t>
        </is>
      </c>
      <c r="D3" s="50" t="inlineStr">
        <is>
          <t>扣款計算方式</t>
        </is>
      </c>
      <c r="E3" s="50" t="inlineStr">
        <is>
          <t>扣款上限</t>
        </is>
      </c>
      <c r="F3" s="50" t="inlineStr">
        <is>
          <t>驗收憑證要求</t>
        </is>
      </c>
      <c r="G3" s="50" t="inlineStr">
        <is>
          <t>狀態</t>
        </is>
      </c>
    </row>
    <row r="4" ht="44" customHeight="1">
      <c r="A4" s="51" t="n">
        <v>1</v>
      </c>
      <c r="B4" s="52" t="inlineStr">
        <is>
          <t>報紙廣告未達2則（論壇前14天）</t>
        </is>
      </c>
      <c r="C4" s="53" t="inlineStr">
        <is>
          <t>九（十一）2</t>
        </is>
      </c>
      <c r="D4" s="54" t="inlineStr">
        <is>
          <t>每不足1則扣新臺幣2萬元</t>
        </is>
      </c>
      <c r="E4" s="53" t="inlineStr">
        <is>
          <t>無上限</t>
        </is>
      </c>
      <c r="F4" s="39" t="inlineStr">
        <is>
          <t>報紙刊登截圖或掃描件、版面編號、刊期</t>
        </is>
      </c>
      <c r="G4" s="47" t="inlineStr">
        <is>
          <t>注意</t>
        </is>
      </c>
    </row>
    <row r="5" ht="44" customHeight="1">
      <c r="A5" s="51" t="n">
        <v>2</v>
      </c>
      <c r="B5" s="52" t="inlineStr">
        <is>
          <t>活動新聞稿未達1篇（論壇後）</t>
        </is>
      </c>
      <c r="C5" s="53" t="inlineStr">
        <is>
          <t>九（十一）2</t>
        </is>
      </c>
      <c r="D5" s="54" t="inlineStr">
        <is>
          <t>扣除契約價金1萬元</t>
        </is>
      </c>
      <c r="E5" s="53" t="inlineStr">
        <is>
          <t>1萬元</t>
        </is>
      </c>
      <c r="F5" s="39" t="inlineStr">
        <is>
          <t>報紙刊登截圖或掃描件、刊期</t>
        </is>
      </c>
      <c r="G5" s="47" t="inlineStr">
        <is>
          <t>注意</t>
        </is>
      </c>
    </row>
    <row r="6" ht="44" customHeight="1">
      <c r="A6" s="51" t="n">
        <v>3</v>
      </c>
      <c r="B6" s="52" t="inlineStr">
        <is>
          <t>數位廣編稿未達10則</t>
        </is>
      </c>
      <c r="C6" s="53" t="inlineStr">
        <is>
          <t>九（十一）3</t>
        </is>
      </c>
      <c r="D6" s="54" t="inlineStr">
        <is>
          <t>每不足1則扣新臺幣1萬元</t>
        </is>
      </c>
      <c r="E6" s="53" t="inlineStr">
        <is>
          <t>該項目契約價金20%</t>
        </is>
      </c>
      <c r="F6" s="39" t="inlineStr">
        <is>
          <t>各則廣編稿URL截圖、媒體名稱、發布日期</t>
        </is>
      </c>
      <c r="G6" s="47" t="inlineStr">
        <is>
          <t>注意</t>
        </is>
      </c>
    </row>
    <row r="7" ht="44" customHeight="1">
      <c r="A7" s="51" t="n">
        <v>4</v>
      </c>
      <c r="B7" s="52" t="inlineStr">
        <is>
          <t>數位廣編稿總曝光未達200萬人次</t>
        </is>
      </c>
      <c r="C7" s="53" t="inlineStr">
        <is>
          <t>九（十一）3</t>
        </is>
      </c>
      <c r="D7" s="54" t="inlineStr">
        <is>
          <t>扣減之總額以該項目契約價金20%為限</t>
        </is>
      </c>
      <c r="E7" s="53" t="inlineStr">
        <is>
          <t>該項目契約價金20%</t>
        </is>
      </c>
      <c r="F7" s="39" t="inlineStr">
        <is>
          <t>後台數據截圖（需含日期範圍、觸及人數）</t>
        </is>
      </c>
      <c r="G7" s="47" t="inlineStr">
        <is>
          <t>注意</t>
        </is>
      </c>
    </row>
    <row r="8" ht="44" customHeight="1">
      <c r="A8" s="51" t="n">
        <v>5</v>
      </c>
      <c r="B8" s="52" t="inlineStr">
        <is>
          <t>電視牆/電子看板廣告未達4,000檔次</t>
        </is>
      </c>
      <c r="C8" s="53" t="inlineStr">
        <is>
          <t>九（十一）4</t>
        </is>
      </c>
      <c r="D8" s="54" t="inlineStr">
        <is>
          <t>每不足1檔次扣新臺幣1,000元</t>
        </is>
      </c>
      <c r="E8" s="53" t="inlineStr">
        <is>
          <t>該項目契約價金20%</t>
        </is>
      </c>
      <c r="F8" s="39" t="inlineStr">
        <is>
          <t>場域播出紀錄（含時段、地點、檔次統計）</t>
        </is>
      </c>
      <c r="G8" s="47" t="inlineStr">
        <is>
          <t>注意</t>
        </is>
      </c>
    </row>
    <row r="9" ht="44" customHeight="1">
      <c r="A9" s="51" t="n">
        <v>6</v>
      </c>
      <c r="B9" s="52" t="inlineStr">
        <is>
          <t>網路廣告/電子報未達20則</t>
        </is>
      </c>
      <c r="C9" s="53" t="inlineStr">
        <is>
          <t>九（十一）5</t>
        </is>
      </c>
      <c r="D9" s="54" t="inlineStr">
        <is>
          <t>每不足1則扣新臺幣1,000元</t>
        </is>
      </c>
      <c r="E9" s="53" t="inlineStr">
        <is>
          <t>該項目契約價金20%</t>
        </is>
      </c>
      <c r="F9" s="39" t="inlineStr">
        <is>
          <t>各則廣告截圖、上刊平台、刊登日期</t>
        </is>
      </c>
      <c r="G9" s="47" t="inlineStr">
        <is>
          <t>注意</t>
        </is>
      </c>
    </row>
    <row r="10" ht="44" customHeight="1">
      <c r="A10" s="51" t="n">
        <v>7</v>
      </c>
      <c r="B10" s="52" t="inlineStr">
        <is>
          <t>長照服務推展系列影片未完成（論壇後15天）</t>
        </is>
      </c>
      <c r="C10" s="53" t="inlineStr">
        <is>
          <t>九（十一）6</t>
        </is>
      </c>
      <c r="D10" s="54" t="inlineStr">
        <is>
          <t>扣除契約價金1萬元</t>
        </is>
      </c>
      <c r="E10" s="53" t="inlineStr">
        <is>
          <t>1萬元</t>
        </is>
      </c>
      <c r="F10" s="39" t="inlineStr">
        <is>
          <t>影片檔案（≥10分鐘）、社群平台上刊連結截圖</t>
        </is>
      </c>
      <c r="G10" s="47" t="inlineStr">
        <is>
          <t>注意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2026-05-15T05:28:35Z</dcterms:created>
  <dcterms:modified xmlns:dcterms="http://purl.org/dc/terms/" xmlns:xsi="http://www.w3.org/2001/XMLSchema-instance" xsi:type="dcterms:W3CDTF">2026-05-15T05:28:35Z</dcterms:modified>
</cp:coreProperties>
</file>