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-3廣編稿追蹤表" sheetId="1" state="visible" r:id="rId1"/>
    <sheet xmlns:r="http://schemas.openxmlformats.org/officeDocument/2006/relationships" name="扣款風險試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標楷體"/>
      <b val="1"/>
      <color rgb="00FFFFFF"/>
      <sz val="16"/>
    </font>
    <font>
      <name val="標楷體"/>
      <b val="1"/>
      <color rgb="00C00000"/>
      <sz val="11"/>
    </font>
    <font>
      <name val="標楷體"/>
      <b val="1"/>
      <color rgb="00FFFFFF"/>
      <sz val="11"/>
    </font>
    <font>
      <name val="標楷體"/>
      <sz val="10"/>
    </font>
    <font>
      <name val="標楷體"/>
      <b val="1"/>
      <sz val="11"/>
    </font>
    <font>
      <name val="標楷體"/>
      <b val="1"/>
      <color rgb="00FFFFFF"/>
      <sz val="14"/>
    </font>
    <font>
      <name val="標楷體"/>
      <sz val="1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4" borderId="1" pivotButton="0" quotePrefix="0" xfId="0"/>
    <xf numFmtId="3" fontId="0" fillId="4" borderId="1" pivotButton="0" quotePrefix="0" xfId="0"/>
    <xf numFmtId="0" fontId="6" fillId="5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28" customWidth="1" min="4" max="4"/>
    <col width="12" customWidth="1" min="5" max="5"/>
    <col width="12" customWidth="1" min="6" max="6"/>
    <col width="28" customWidth="1" min="7" max="7"/>
    <col width="14" customWidth="1" min="8" max="8"/>
    <col width="12" customWidth="1" min="9" max="9"/>
    <col width="10" customWidth="1" min="10" max="10"/>
    <col width="22" customWidth="1" min="11" max="11"/>
  </cols>
  <sheetData>
    <row r="1" ht="28" customHeight="1">
      <c r="A1" s="1" t="inlineStr">
        <is>
          <t>J-3 數位廣編稿追蹤表  |  2026臺中長照台日論壇（案號115B17）</t>
        </is>
      </c>
    </row>
    <row r="2" ht="22" customHeight="1">
      <c r="A2" s="2" t="inlineStr">
        <is>
          <t>截止日：2026/6/19（論壇前14天）  |  目標：≥10則／≥2篇長照3.0+失智專題／≥200萬人次  |  扣款：每不足1則扣1萬元</t>
        </is>
      </c>
    </row>
    <row r="3" ht="32" customHeight="1">
      <c r="A3" s="3" t="inlineStr">
        <is>
          <t>序號</t>
        </is>
      </c>
      <c r="B3" s="3" t="inlineStr">
        <is>
          <t>類別標記</t>
        </is>
      </c>
      <c r="C3" s="3" t="inlineStr">
        <is>
          <t>廣編稿標題</t>
        </is>
      </c>
      <c r="D3" s="3" t="inlineStr">
        <is>
          <t>建議媒體/平台</t>
        </is>
      </c>
      <c r="E3" s="3" t="inlineStr">
        <is>
          <t>負責窗口</t>
        </is>
      </c>
      <c r="F3" s="3" t="inlineStr">
        <is>
          <t>發布日期</t>
        </is>
      </c>
      <c r="G3" s="3" t="inlineStr">
        <is>
          <t>URL連結</t>
        </is>
      </c>
      <c r="H3" s="3" t="inlineStr">
        <is>
          <t>觸及/曝光數</t>
        </is>
      </c>
      <c r="I3" s="3" t="inlineStr">
        <is>
          <t>截圖留存</t>
        </is>
      </c>
      <c r="J3" s="3" t="inlineStr">
        <is>
          <t>狀態</t>
        </is>
      </c>
      <c r="K3" s="3" t="inlineStr">
        <is>
          <t>備註</t>
        </is>
      </c>
    </row>
    <row r="4" ht="36" customHeight="1">
      <c r="A4" s="4" t="n">
        <v>1</v>
      </c>
      <c r="B4" s="4" t="inlineStr">
        <is>
          <t>⭐政策+失智專題</t>
        </is>
      </c>
      <c r="C4" s="5" t="inlineStr">
        <is>
          <t>長照3.0上路！台中接軌中央八大目標 失智照護全面升級</t>
        </is>
      </c>
      <c r="D4" s="5" t="inlineStr">
        <is>
          <t>聯合新聞網元氣網／1966長照粉專</t>
        </is>
      </c>
      <c r="E4" s="5" t="inlineStr"/>
      <c r="F4" s="4" t="inlineStr"/>
      <c r="G4" s="5" t="inlineStr"/>
      <c r="H4" s="4" t="inlineStr"/>
      <c r="I4" s="5" t="inlineStr"/>
      <c r="J4" s="4" t="inlineStr">
        <is>
          <t>待發布</t>
        </is>
      </c>
      <c r="K4" s="5" t="inlineStr">
        <is>
          <t>政策總覽稿</t>
        </is>
      </c>
    </row>
    <row r="5" ht="36" customHeight="1">
      <c r="A5" s="4" t="n">
        <v>2</v>
      </c>
      <c r="B5" s="4" t="inlineStr">
        <is>
          <t>⭐政策+失智專題</t>
        </is>
      </c>
      <c r="C5" s="5" t="inlineStr">
        <is>
          <t>長照3.0新制 失智症族群全納入！台中失智共照網守護2.5萬名家屬</t>
        </is>
      </c>
      <c r="D5" s="5" t="inlineStr">
        <is>
          <t>台灣失智症協會粉專／健康2.0</t>
        </is>
      </c>
      <c r="E5" s="5" t="inlineStr"/>
      <c r="F5" s="4" t="inlineStr"/>
      <c r="G5" s="5" t="inlineStr"/>
      <c r="H5" s="4" t="inlineStr"/>
      <c r="I5" s="5" t="inlineStr"/>
      <c r="J5" s="4" t="inlineStr">
        <is>
          <t>待發布</t>
        </is>
      </c>
      <c r="K5" s="5" t="inlineStr">
        <is>
          <t>失智專題稿</t>
        </is>
      </c>
    </row>
    <row r="6" ht="36" customHeight="1">
      <c r="A6" s="4" t="n">
        <v>3</v>
      </c>
      <c r="B6" s="4" t="inlineStr">
        <is>
          <t>在地安老</t>
        </is>
      </c>
      <c r="C6" s="5" t="inlineStr">
        <is>
          <t>全國最大長照網！台中ABC據點1,879處 三里一站照顧好厝邊</t>
        </is>
      </c>
      <c r="D6" s="5" t="inlineStr">
        <is>
          <t>愛長照／家天使</t>
        </is>
      </c>
      <c r="E6" s="5" t="inlineStr"/>
      <c r="F6" s="4" t="inlineStr"/>
      <c r="G6" s="5" t="inlineStr"/>
      <c r="H6" s="4" t="inlineStr"/>
      <c r="I6" s="5" t="inlineStr"/>
      <c r="J6" s="4" t="inlineStr">
        <is>
          <t>待發布</t>
        </is>
      </c>
      <c r="K6" s="5" t="inlineStr"/>
    </row>
    <row r="7" ht="36" customHeight="1">
      <c r="A7" s="4" t="n">
        <v>4</v>
      </c>
      <c r="B7" s="4" t="inlineStr">
        <is>
          <t>醫照整合</t>
        </is>
      </c>
      <c r="C7" s="5" t="inlineStr">
        <is>
          <t>穩坐六都第一 台中「在宅醫療＋共融照護」打造全民照護網</t>
        </is>
      </c>
      <c r="D7" s="5" t="inlineStr">
        <is>
          <t>工商時報網／優照護</t>
        </is>
      </c>
      <c r="E7" s="5" t="inlineStr"/>
      <c r="F7" s="4" t="inlineStr"/>
      <c r="G7" s="5" t="inlineStr"/>
      <c r="H7" s="4" t="inlineStr"/>
      <c r="I7" s="5" t="inlineStr"/>
      <c r="J7" s="4" t="inlineStr">
        <is>
          <t>待發布</t>
        </is>
      </c>
      <c r="K7" s="5" t="inlineStr">
        <is>
          <t>已有2025/4既有報導可延伸</t>
        </is>
      </c>
    </row>
    <row r="8" ht="36" customHeight="1">
      <c r="A8" s="4" t="n">
        <v>5</v>
      </c>
      <c r="B8" s="4" t="inlineStr">
        <is>
          <t>智慧長照</t>
        </is>
      </c>
      <c r="C8" s="5" t="inlineStr">
        <is>
          <t>長照即時通App上線 大數據預測需求 台中邁向智慧長照</t>
        </is>
      </c>
      <c r="D8" s="5" t="inlineStr">
        <is>
          <t>數位時代／智慧樂齡網</t>
        </is>
      </c>
      <c r="E8" s="5" t="inlineStr"/>
      <c r="F8" s="4" t="inlineStr"/>
      <c r="G8" s="5" t="inlineStr"/>
      <c r="H8" s="4" t="inlineStr"/>
      <c r="I8" s="5" t="inlineStr"/>
      <c r="J8" s="4" t="inlineStr">
        <is>
          <t>待發布</t>
        </is>
      </c>
      <c r="K8" s="5" t="inlineStr"/>
    </row>
    <row r="9" ht="36" customHeight="1">
      <c r="A9" s="4" t="n">
        <v>6</v>
      </c>
      <c r="B9" s="4" t="inlineStr">
        <is>
          <t>機構量能</t>
        </is>
      </c>
      <c r="C9" s="5" t="inlineStr">
        <is>
          <t>台中首家市立綜合長照機構落成 慈濟攜手打造智慧整合照護</t>
        </is>
      </c>
      <c r="D9" s="5" t="inlineStr">
        <is>
          <t>聯合報／大愛新聞</t>
        </is>
      </c>
      <c r="E9" s="5" t="inlineStr"/>
      <c r="F9" s="4" t="inlineStr"/>
      <c r="G9" s="5" t="inlineStr"/>
      <c r="H9" s="4" t="inlineStr"/>
      <c r="I9" s="5" t="inlineStr"/>
      <c r="J9" s="4" t="inlineStr">
        <is>
          <t>待發布</t>
        </is>
      </c>
      <c r="K9" s="5" t="inlineStr"/>
    </row>
    <row r="10" ht="36" customHeight="1">
      <c r="A10" s="4" t="n">
        <v>7</v>
      </c>
      <c r="B10" s="4" t="inlineStr">
        <is>
          <t>失智友善</t>
        </is>
      </c>
      <c r="C10" s="5" t="inlineStr">
        <is>
          <t>失智友善社區動起來！台中商家化身「友善天使」 走失不漏接</t>
        </is>
      </c>
      <c r="D10" s="5" t="inlineStr">
        <is>
          <t>台中市衛生局粉專／失智症協會</t>
        </is>
      </c>
      <c r="E10" s="5" t="inlineStr"/>
      <c r="F10" s="4" t="inlineStr"/>
      <c r="G10" s="5" t="inlineStr"/>
      <c r="H10" s="4" t="inlineStr"/>
      <c r="I10" s="5" t="inlineStr"/>
      <c r="J10" s="4" t="inlineStr">
        <is>
          <t>待發布</t>
        </is>
      </c>
      <c r="K10" s="5" t="inlineStr"/>
    </row>
    <row r="11" ht="36" customHeight="1">
      <c r="A11" s="4" t="n">
        <v>8</v>
      </c>
      <c r="B11" s="4" t="inlineStr">
        <is>
          <t>偏鄉長照</t>
        </is>
      </c>
      <c r="C11" s="5" t="inlineStr">
        <is>
          <t>偏鄉不孤單 台中山海線遠距醫療＋IDS計畫 補齊長照最後一哩</t>
        </is>
      </c>
      <c r="D11" s="5" t="inlineStr">
        <is>
          <t>中山醫附設粉專／自由時報中部</t>
        </is>
      </c>
      <c r="E11" s="5" t="inlineStr"/>
      <c r="F11" s="4" t="inlineStr"/>
      <c r="G11" s="5" t="inlineStr"/>
      <c r="H11" s="4" t="inlineStr"/>
      <c r="I11" s="5" t="inlineStr"/>
      <c r="J11" s="4" t="inlineStr">
        <is>
          <t>待發布</t>
        </is>
      </c>
      <c r="K11" s="5" t="inlineStr"/>
    </row>
    <row r="12" ht="36" customHeight="1">
      <c r="A12" s="4" t="n">
        <v>9</v>
      </c>
      <c r="B12" s="4" t="inlineStr">
        <is>
          <t>健康老化</t>
        </is>
      </c>
      <c r="C12" s="5" t="inlineStr">
        <is>
          <t>延緩失能從預防開始 台中社區據點打造高齡健康生活圈</t>
        </is>
      </c>
      <c r="D12" s="5" t="inlineStr">
        <is>
          <t>樂齡網／50+好好</t>
        </is>
      </c>
      <c r="E12" s="5" t="inlineStr"/>
      <c r="F12" s="4" t="inlineStr"/>
      <c r="G12" s="5" t="inlineStr"/>
      <c r="H12" s="4" t="inlineStr"/>
      <c r="I12" s="5" t="inlineStr"/>
      <c r="J12" s="4" t="inlineStr">
        <is>
          <t>待發布</t>
        </is>
      </c>
      <c r="K12" s="5" t="inlineStr"/>
    </row>
    <row r="13" ht="36" customHeight="1">
      <c r="A13" s="4" t="n">
        <v>10</v>
      </c>
      <c r="B13" s="4" t="inlineStr">
        <is>
          <t>國際交流</t>
        </is>
      </c>
      <c r="C13" s="5" t="inlineStr">
        <is>
          <t>台日交流 共學失智照護！2026臺中長照台日論壇7/3登場</t>
        </is>
      </c>
      <c r="D13" s="5" t="inlineStr">
        <is>
          <t>台中市政府粉專／中時新聞網</t>
        </is>
      </c>
      <c r="E13" s="5" t="inlineStr"/>
      <c r="F13" s="4" t="inlineStr"/>
      <c r="G13" s="5" t="inlineStr"/>
      <c r="H13" s="4" t="inlineStr"/>
      <c r="I13" s="5" t="inlineStr"/>
      <c r="J13" s="4" t="inlineStr">
        <is>
          <t>待發布</t>
        </is>
      </c>
      <c r="K13" s="5" t="inlineStr">
        <is>
          <t>配合J-5關鍵字廣告</t>
        </is>
      </c>
    </row>
    <row r="14">
      <c r="A14" s="6" t="n"/>
      <c r="B14" s="7" t="inlineStr">
        <is>
          <t>合計／驗收</t>
        </is>
      </c>
      <c r="C14" s="7" t="inlineStr">
        <is>
          <t>總則數</t>
        </is>
      </c>
      <c r="D14" s="6">
        <f>COUNTA(C4:C13)</f>
        <v/>
      </c>
      <c r="E14" s="6" t="n"/>
      <c r="F14" s="6" t="n"/>
      <c r="G14" s="7" t="inlineStr">
        <is>
          <t>總觸及</t>
        </is>
      </c>
      <c r="H14" s="8">
        <f>SUM(H4:H13)</f>
        <v/>
      </c>
      <c r="I14" s="7" t="inlineStr">
        <is>
          <t>目標</t>
        </is>
      </c>
      <c r="J14" s="8" t="n">
        <v>2000000</v>
      </c>
      <c r="K14" s="6">
        <f>IF(H14&gt;=2000000,"✓達標","⚠未達")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0" customWidth="1" min="4" max="4"/>
  </cols>
  <sheetData>
    <row r="1" ht="24" customHeight="1">
      <c r="A1" s="9" t="inlineStr">
        <is>
          <t>J-3 扣款風險即時試算</t>
        </is>
      </c>
    </row>
    <row r="2" ht="30" customHeight="1">
      <c r="A2" s="10" t="inlineStr">
        <is>
          <t>項目</t>
        </is>
      </c>
      <c r="B2" s="10" t="inlineStr">
        <is>
          <t>標準</t>
        </is>
      </c>
      <c r="C2" s="10" t="inlineStr">
        <is>
          <t>實際</t>
        </is>
      </c>
      <c r="D2" s="10" t="inlineStr">
        <is>
          <t>風險/扣款</t>
        </is>
      </c>
    </row>
    <row r="3" ht="30" customHeight="1">
      <c r="A3" s="11" t="inlineStr">
        <is>
          <t>廣編稿總則數</t>
        </is>
      </c>
      <c r="B3" s="11" t="inlineStr">
        <is>
          <t>≥10</t>
        </is>
      </c>
      <c r="C3" s="11">
        <f>'J-3廣編稿追蹤表'!D14</f>
        <v/>
      </c>
      <c r="D3" s="11">
        <f>IF('J-3廣編稿追蹤表'!D14&lt;10,(10-'J-3廣編稿追蹤表'!D14)*10000,0)</f>
        <v/>
      </c>
    </row>
    <row r="4" ht="30" customHeight="1">
      <c r="A4" s="11" t="inlineStr">
        <is>
          <t>長照3.0+失智專題</t>
        </is>
      </c>
      <c r="B4" s="11" t="inlineStr">
        <is>
          <t>≥2篇</t>
        </is>
      </c>
      <c r="C4" s="11" t="inlineStr">
        <is>
          <t>（請手動確認第1、2則）</t>
        </is>
      </c>
      <c r="D4" s="11" t="n">
        <v>0</v>
      </c>
    </row>
    <row r="5" ht="30" customHeight="1">
      <c r="A5" s="11" t="inlineStr">
        <is>
          <t>總觸及人次</t>
        </is>
      </c>
      <c r="B5" s="11" t="inlineStr">
        <is>
          <t>≥2,000,000</t>
        </is>
      </c>
      <c r="C5" s="11">
        <f>'J-3廣編稿追蹤表'!H14</f>
        <v/>
      </c>
      <c r="D5" s="11">
        <f>IF('J-3廣編稿追蹤表'!H14&lt;2000000,"以契約價金20%為限","0")</f>
        <v/>
      </c>
    </row>
    <row r="6" ht="30" customHeight="1">
      <c r="A6" s="11" t="inlineStr">
        <is>
          <t>粉絲頁類型</t>
        </is>
      </c>
      <c r="B6" s="11" t="inlineStr">
        <is>
          <t>長照/失智相關</t>
        </is>
      </c>
      <c r="C6" s="11" t="inlineStr">
        <is>
          <t>（請手動確認）</t>
        </is>
      </c>
      <c r="D6" s="11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2026-05-20T13:24:46Z</dcterms:created>
  <dcterms:modified xmlns:dcterms="http://purl.org/dc/terms/" xmlns:xsi="http://www.w3.org/2001/XMLSchema-instance" xsi:type="dcterms:W3CDTF">2026-05-20T13:24:46Z</dcterms:modified>
</cp:coreProperties>
</file>