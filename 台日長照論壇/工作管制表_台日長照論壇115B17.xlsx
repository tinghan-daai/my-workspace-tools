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cdopc003/Library/CloudStorage/GoogleDrive-tinghan@gmail.com/我的雲端硬碟/台日長照論壇/"/>
    </mc:Choice>
  </mc:AlternateContent>
  <xr:revisionPtr revIDLastSave="0" documentId="13_ncr:1_{914E91B6-E470-214F-99A1-82B4148576A6}" xr6:coauthVersionLast="47" xr6:coauthVersionMax="47" xr10:uidLastSave="{00000000-0000-0000-0000-000000000000}"/>
  <bookViews>
    <workbookView xWindow="0" yWindow="620" windowWidth="51200" windowHeight="28180" xr2:uid="{00000000-000D-0000-FFFF-FFFF00000000}"/>
  </bookViews>
  <sheets>
    <sheet name="工作管制總表" sheetId="1" r:id="rId1"/>
    <sheet name="時程甘特概覽" sheetId="2" r:id="rId2"/>
    <sheet name="付款里程碑" sheetId="3" r:id="rId3"/>
    <sheet name="扣款風險清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</calcChain>
</file>

<file path=xl/sharedStrings.xml><?xml version="1.0" encoding="utf-8"?>
<sst xmlns="http://schemas.openxmlformats.org/spreadsheetml/2006/main" count="469" uniqueCount="287">
  <si>
    <t>2026 臺中長照台日論壇  工作管制表</t>
  </si>
  <si>
    <t>案號：115B17　｜　主辦：臺中市政府衛生局　｜　得標日：2026/5/14　｜　論壇日期：2026/7/3（五）　｜　履約期限：2026/12/15　｜　合約金額：200萬元（含稅）</t>
  </si>
  <si>
    <t>▶ 關鍵日程：D+30→6/15 ｜ D+45→6/29 ｜ 論壇前30天→6/3 ｜ 論壇前14天→6/19 ｜ 論壇前7天→6/26 ｜ 論壇前1天→7/2 ｜ 論壇日→7/3 ｜ 期末報告→12/15</t>
  </si>
  <si>
    <t>序號</t>
  </si>
  <si>
    <t>類別</t>
  </si>
  <si>
    <t>工作項目</t>
  </si>
  <si>
    <t>執行內容摘要</t>
  </si>
  <si>
    <t>標規期限依據</t>
  </si>
  <si>
    <t>截止日期</t>
  </si>
  <si>
    <t>負責單位</t>
  </si>
  <si>
    <t>負責人</t>
  </si>
  <si>
    <t>進度狀態</t>
  </si>
  <si>
    <t>扣款風險提示</t>
  </si>
  <si>
    <t>備註</t>
  </si>
  <si>
    <t>A 第一期交付</t>
  </si>
  <si>
    <t>計畫執行討論會</t>
  </si>
  <si>
    <t>召集至本局開至少1場計畫執行討論會</t>
  </si>
  <si>
    <t>決標次日起30日曆天內</t>
  </si>
  <si>
    <t>2026/6/15</t>
  </si>
  <si>
    <t>待辦</t>
  </si>
  <si>
    <t>末日為例假日順延</t>
  </si>
  <si>
    <t>工作細部計畫書提交</t>
  </si>
  <si>
    <t>提交紙本1式2份、電子檔1份（word及pdf）；含執行團隊人力配置（含專案窗口）、各項工作內容、進度規劃及辦理方式、小組通訊方式等書面資料及活動實施計畫定稿</t>
  </si>
  <si>
    <t>★ 為第1期款30%請款依據</t>
  </si>
  <si>
    <t>含相關人員簡歷</t>
  </si>
  <si>
    <t>B 論壇規劃</t>
  </si>
  <si>
    <t>活動整體形象—主題設計</t>
  </si>
  <si>
    <t>以長照3.0政策發展趨勢及失智症/智慧科技照護應用為核心，策劃論壇主題、議程及運作模式（至少8小時）；主題標誌及主視覺設計，提供至少2種以上風格供機關挑選</t>
  </si>
  <si>
    <t>須經本局同意後始得施行</t>
  </si>
  <si>
    <t>活動整體形象—與會人員邀請規劃</t>
  </si>
  <si>
    <t>積極邀請至少3位日本產官學專家學者、衛福部長官、全國各縣市政府、長照領域相關公協會及專家學者、長照機構經營者代表、媒體記者等；預估250人</t>
  </si>
  <si>
    <t>活動整體形象—宣傳海報/布條/旗幟設計製作</t>
  </si>
  <si>
    <t>設計、製作、郵寄及懸掛論壇宣傳海報、布條或旗幟（含旗桿及旗座），至少寄送至全國各縣市政府及中部醫療院所至少50處（中彰投、新竹縣市、苗栗縣、嘉義縣市轄內地區級以上醫院）</t>
  </si>
  <si>
    <t>須經本局同意後始得發送</t>
  </si>
  <si>
    <t>活動整體形象—活動期程規劃</t>
  </si>
  <si>
    <t>規劃論壇活動期程</t>
  </si>
  <si>
    <t>活動整體形象—網頁建置規劃</t>
  </si>
  <si>
    <t>規劃網頁建置方向</t>
  </si>
  <si>
    <t>活動整體形象—活動禮品設計選品</t>
  </si>
  <si>
    <t>活動禮品設計及選品（須本局同意）</t>
  </si>
  <si>
    <t>活動整體形象—滿意度調查表設計</t>
  </si>
  <si>
    <t>設計論壇活動滿意度調查表，內容須包含性別、年齡、活動滿意度等項目</t>
  </si>
  <si>
    <t>C 網頁及報名</t>
  </si>
  <si>
    <t>論壇網頁製作、建置及維護</t>
  </si>
  <si>
    <t>主題活動宣傳網頁，至少2種以上風格供機關挑選；全程維護至活動結束；須檢附網頁安全需求報告書；注意個資蒐集相關法規</t>
  </si>
  <si>
    <t>★ 未建置扣契約價金5萬元</t>
  </si>
  <si>
    <t>含報名系統及報名資料統計；論壇資訊須經本局同意始得發送</t>
  </si>
  <si>
    <t>與會人員報名作業規劃與執行</t>
  </si>
  <si>
    <t>規劃報名方式（網路報名與其他方式）與流程（公告、資料登錄、名牌製作、會前通知、與會安排等）</t>
  </si>
  <si>
    <t>D 論壇活動</t>
  </si>
  <si>
    <t>論壇活動規劃—場地及設備</t>
  </si>
  <si>
    <t>台中市可容納250人以上會議室（含投影設備、網際網路、貴賓接待室1間容納10人、用餐場地250人）；場地租借含活動當日及前一日場佈；4G以上無限流量WiFi</t>
  </si>
  <si>
    <t>論壇日7/3，場地需儘速確認訂位</t>
  </si>
  <si>
    <t>論壇活動規劃—場地軟硬體設備</t>
  </si>
  <si>
    <t>投影設備、3部連網筆電、至少2支簡報筆、無線麥克風12支以上、1部功能事務機（列印/複印/掃描/傳真）；全程現場錄音錄影攝影（專業攝影團隊）；立即剪輯影像器材及人員至少1名</t>
  </si>
  <si>
    <t>當日中午前提供15-20張照片及新聞稿；論壇結束3日內提供其餘照片及影音電子檔</t>
  </si>
  <si>
    <t>論壇活動規劃—司儀</t>
  </si>
  <si>
    <t>需曾主持百人以上活動至少3場、精通中英日語；提供2位名單供本局選擇；活動前1天（7/2）參與彩排</t>
  </si>
  <si>
    <t>論壇活動規劃—整體規劃及佈置</t>
  </si>
  <si>
    <t>區域規劃（貴賓接待/簽到/工作/用餐交流）；桌面擺放；花藝佈置；舞台佈置（LED電視牆/Truss桁架/背板）；中英日文指示牌；主視覺海報或旗幟50組（含旗桿及旗座）；至少3組攤位（1個含智慧科技輔具主題，須經本局同意）；至少30位現場工作人員</t>
  </si>
  <si>
    <t>論壇活動規劃—燈光音響及備案</t>
  </si>
  <si>
    <t>燈光及音響控制（含工作細節安排）；提出論壇備案規劃（視訊或線上等疫情替代模式）</t>
  </si>
  <si>
    <t>E 翻譯安排</t>
  </si>
  <si>
    <t>口譯人員安排</t>
  </si>
  <si>
    <t>中日文、中英文同步口譯各2位</t>
  </si>
  <si>
    <t>顧問名單須經本局同意</t>
  </si>
  <si>
    <t>翻譯設備安排</t>
  </si>
  <si>
    <t>同步翻譯設備主機（可雙向傳輸）、紅外線發射器、紅外線接收器及耳機至少300份；通訊設備應符合NCC規範</t>
  </si>
  <si>
    <t>翻譯作業（文件審校）</t>
  </si>
  <si>
    <t>備有英文及日文專業翻譯顧問，協助整場活動文件、會議資料、手冊及紀錄等相關文案撰寫、審核、修改及校稿（含長官中英日文版本之致詞稿及新聞稿）；顧問名單須經本局同意</t>
  </si>
  <si>
    <t>F 外賓接待</t>
  </si>
  <si>
    <t>交通接送安排</t>
  </si>
  <si>
    <t>國內貴賓：高鐵/車站至會場來回接送；國外貴賓：機場/飯店/會場共3天交通接送（7/1–7/3）；車輛7年內出廠、無障礙規格；配置1名隨車人員；事先調查出席貴賓及講師住宿及交通需求</t>
  </si>
  <si>
    <t>★ 每次違規（抽菸/飲酒/嚼檳榔/使用手機/違規駕駛）查屬實扣款5,000元</t>
  </si>
  <si>
    <t>住宿安排</t>
  </si>
  <si>
    <t>外賓1人1間大床房2晚（含早餐），與論壇同一地點，由廠商負責預定；依各機關聘請國外顧問、專家及學者來臺工作期間支付費用規範，依專家學者級別支付膳宿費</t>
  </si>
  <si>
    <t>G 餐飲規劃</t>
  </si>
  <si>
    <t>餐飲規劃及訂位</t>
  </si>
  <si>
    <t>2日晚宴（7/2晚宴1桌至少10人、7/3當天3桌至少30人，精通日文隨行翻譯至少1名）；茶點（含素食）至少300人份，上下午各1次；誤餐（含素食）約300人份精緻便當；貴賓用餐（流程規劃/接待/引導）；貴賓休息室茶點及飲料；全程供應茶水及咖啡；合作業者需有營業證照；可重複使用餐具；含公共意外保險食品中毒條款</t>
  </si>
  <si>
    <t>決標次日起45日曆天內完成訂位</t>
  </si>
  <si>
    <t>2026/6/29</t>
  </si>
  <si>
    <t>餐飲皆須於當日準備於會議現場提供（除7/2晚宴外）；須符合場地使用規範</t>
  </si>
  <si>
    <t>H 文宣設計</t>
  </si>
  <si>
    <t>文宣設計—論壇素材設計及輸出</t>
  </si>
  <si>
    <t>論壇主題標誌、主視覺設計、宣傳海報、邀請卡及彩色布條等之設計及製作（須經本局同意後始得發送）；所有文宣廣告需加註「廣告」二字及揭露機關名稱</t>
  </si>
  <si>
    <t>文宣設計—會議手冊設計</t>
  </si>
  <si>
    <t>設計會議手冊（含議程、講師資歷及授課資料等）；可提供電子講義供下載；視需求印製紙本手冊約50份（數量由本局指定）</t>
  </si>
  <si>
    <t>文宣設計—識別證及資料袋</t>
  </si>
  <si>
    <t>與會人員與工作人員識別證設計及印製（含吊繩）至少300份，明顯區分貴賓/講師/學員/工作人員身份；主題文宣品及資料袋設計及製作共300份（至少提供7款文宣品供本局選擇）；手提袋可容納論壇手冊/識別證/衛教品等</t>
  </si>
  <si>
    <t>決標次日起30日曆天內（提報）
論壇前1日（送達）</t>
  </si>
  <si>
    <t>2026/6/15（提報）
2026/7/2（送達）</t>
  </si>
  <si>
    <t>★ 禮品獎狀須於會議前1日（7/2）送達會場</t>
  </si>
  <si>
    <t>文宣設計—邀請卡</t>
  </si>
  <si>
    <t>中英日文邀請卡（含信封）100份</t>
  </si>
  <si>
    <t>I 禮品規劃</t>
  </si>
  <si>
    <t>禮品規劃</t>
  </si>
  <si>
    <t>演講者禮品8份（市價至少1,500元，具本市文化特色）；貴賓禮至少50份（市價至少400元），至少提供5款供本局選擇；伴手禮至少300份（市價至少100元）；所有禮品須經本局同意後始可採購</t>
  </si>
  <si>
    <t>★ 禮品獎狀須於7/2送達會場</t>
  </si>
  <si>
    <t>J 活動推廣</t>
  </si>
  <si>
    <t>報紙推展（論壇前廣告2則）</t>
  </si>
  <si>
    <t>論壇舉辦前於三大報（中國時報、聯合報或自由時報）刊登論壇資訊至少2則推廣資訊，至遲應於活動開始前一週刊登</t>
  </si>
  <si>
    <t>論壇前14個日曆天完成刊登
（最遲活動前1週刊登）</t>
  </si>
  <si>
    <t>2026/6/19（論壇前14天）</t>
  </si>
  <si>
    <t>★ 未達2則，每不足1則扣2萬元</t>
  </si>
  <si>
    <t>論壇後於三大報刊至少1則論壇新聞稿</t>
  </si>
  <si>
    <t>報紙新聞稿（論壇後1則）</t>
  </si>
  <si>
    <t>論壇舉辦後於三大報紙刊至少1則論壇新聞稿</t>
  </si>
  <si>
    <t>論壇後儘速刊登</t>
  </si>
  <si>
    <t>2026/7/3 後儘速</t>
  </si>
  <si>
    <t>★ 未達1篇扣1萬元</t>
  </si>
  <si>
    <t>數位廣編稿（至少10則、200萬人次）</t>
  </si>
  <si>
    <t>於媒體及相關數位平台曝光至少10則，其中至少2篇包含長照3.0政策及失智症相關議題之專題報導；總曝光數或觸及人數至少達200萬人次；須於長照或失智症照護相關粉絲頁曝光</t>
  </si>
  <si>
    <t>論壇前14個日曆天前完成發布</t>
  </si>
  <si>
    <t>★ 每不足1則扣1萬元；未達200萬人次，扣減總額以該項目契約價金20%為限</t>
  </si>
  <si>
    <t>電視牆/電子看板廣告（至少4,000檔次）</t>
  </si>
  <si>
    <t>台中市戶外電視牆/電子看板廣告，至少包含2處場域合計至少4,000檔次</t>
  </si>
  <si>
    <t>論壇前14個日曆天前完成</t>
  </si>
  <si>
    <t>★ 每不足1檔次扣1,000元；扣減總額以該項目契約價金20%為限</t>
  </si>
  <si>
    <t>網路關鍵字廣告（至少20則）</t>
  </si>
  <si>
    <t>於Yahoo、Google等搜尋引擎入口或Facebook、YouTube、Instagram等社群網站上架設活動連結廣告及關鍵字連結廣告；並以電子報或刊登網路廣告至少20則宣傳論壇訊息</t>
  </si>
  <si>
    <t>論壇前30個日曆天完成</t>
  </si>
  <si>
    <t>2026/6/3（論壇前30天）</t>
  </si>
  <si>
    <t>★ 每不足1則扣1,000元；扣減總額以該項目契約價金20%為限</t>
  </si>
  <si>
    <t>K 活動前準備</t>
  </si>
  <si>
    <t>活動前籌備會（第1次）</t>
  </si>
  <si>
    <t>至少辦理1次活動前籌備會
⚠ 論壇前60天（5/4）早於決標日，決標後應立即安排！</t>
  </si>
  <si>
    <t>活動前60個日曆天</t>
  </si>
  <si>
    <t>⚠ 2026/5/4 已過
→ 決標後立即安排</t>
  </si>
  <si>
    <t>★ 為第2期款70%請款依據</t>
  </si>
  <si>
    <t>論壇前60天=5/4，決標後需最速安排</t>
  </si>
  <si>
    <t>活動前籌備會（第2次）</t>
  </si>
  <si>
    <t>至少辦理1次活動前籌備會（活動前30日曆天完成1次）</t>
  </si>
  <si>
    <t>活動前30個日曆天</t>
  </si>
  <si>
    <t>教育訓練</t>
  </si>
  <si>
    <t>論壇工作人員須於會議前辦理並接受國際禮儀訓練至少1場次實體教育訓練，並須配合彩排</t>
  </si>
  <si>
    <t>論壇活動前15個日曆天辦理完成</t>
  </si>
  <si>
    <t>2026/6/18（論壇前15天）</t>
  </si>
  <si>
    <t>活動保險</t>
  </si>
  <si>
    <t>公共意外責任保險（含食品中毒條款）完成投保；外賓來台旅遊平安險</t>
  </si>
  <si>
    <t>論壇前7個日曆天辦理完成</t>
  </si>
  <si>
    <t>2026/6/26（論壇前7天）</t>
  </si>
  <si>
    <t>彩排</t>
  </si>
  <si>
    <t>各項設備測試並安排活動彩排</t>
  </si>
  <si>
    <t>活動前1日完成</t>
  </si>
  <si>
    <t>2026/7/2（論壇前1天）</t>
  </si>
  <si>
    <t>L 活動當日</t>
  </si>
  <si>
    <t>活動當日—照片及新聞稿</t>
  </si>
  <si>
    <t>現場備有立即剪輯影像器材及即時影像處理能力之人員至少1名，活動當日中午前提供15至20張活動照片及新聞稿</t>
  </si>
  <si>
    <t>活動當日中午前</t>
  </si>
  <si>
    <t>2026/7/3 當日中午前</t>
  </si>
  <si>
    <t>活動當日—成果宣傳影片剪輯</t>
  </si>
  <si>
    <t>現場剪輯，於晚宴時播放當日活動花絮；提供1支剪輯3分鐘成果宣傳影片</t>
  </si>
  <si>
    <t>活動當日晚宴時</t>
  </si>
  <si>
    <t>2026/7/3 當日晚宴</t>
  </si>
  <si>
    <t>場復</t>
  </si>
  <si>
    <t>活動結束後進行會場善後清潔事宜，須經場地負責單位清點完成後廠商始可離場</t>
  </si>
  <si>
    <t>會議結束後當日</t>
  </si>
  <si>
    <t>2026/7/3 活動結束後</t>
  </si>
  <si>
    <t>M 成果驗收</t>
  </si>
  <si>
    <t>論壇後照片及影音電子檔交付</t>
  </si>
  <si>
    <t>論壇結束3日內提供其餘照片；影音電子檔於結案時提供機關保存及運用</t>
  </si>
  <si>
    <t>論壇結束後3日內</t>
  </si>
  <si>
    <t>2026/7/6（論壇+3天）</t>
  </si>
  <si>
    <t>長照服務推展系列影片製作</t>
  </si>
  <si>
    <t>活動結束次日起15日曆天內製作長照服務推展系列影片（剪輯為至少10分鐘之精華片段影音檔）；透過多元管道推廣長照服務，再次於社群平台上播送；上刊平台及影片內容皆須經本局同意後執行</t>
  </si>
  <si>
    <t>活動結束次日起15日曆天內</t>
  </si>
  <si>
    <t>2026/7/19（7/4起+15天）</t>
  </si>
  <si>
    <t>★ 未達扣契約價金1萬元</t>
  </si>
  <si>
    <t>活動滿意度調查分析</t>
  </si>
  <si>
    <t>論壇滿意度調查（出席者必填），項目須包含性別、年齡等資料，每堂課之課程滿意度分析；於115/12/15前繳交成果報告中呈現，檢復問卷彙整原始檔及分析後相關資料</t>
  </si>
  <si>
    <t>115年12月15日前</t>
  </si>
  <si>
    <t>2026/12/15</t>
  </si>
  <si>
    <t>★ 未達成執行狀況則依實際執行狀比例給付價金</t>
  </si>
  <si>
    <t>期末總成果報告繳交</t>
  </si>
  <si>
    <t>繳交期末總成果報告（紙本1式2份；電子檔存於光碟（或隨身碟）1份（含word及pdf格式））；含本案所有執行成果、錄音錄影檔、文宣設計圖檔、活動照片、講義及專案推廣等完整電子檔案；且須包含計畫執行相關佐證資料（含簽到表、學分申請登錄、保險證明及活動推展）等相關佐證</t>
  </si>
  <si>
    <t>未發送物品歸還</t>
  </si>
  <si>
    <t>活動結束後未發送完之文宣、貴賓禮及伴手禮等相關物品，運送回本局指定地點</t>
  </si>
  <si>
    <t>活動結束後7個日曆天</t>
  </si>
  <si>
    <t>2026/7/10（論壇+7天）</t>
  </si>
  <si>
    <t>關鍵時程概覽  |  2026臺中長照台日論壇（案號115B17）</t>
  </si>
  <si>
    <t>里程碑</t>
  </si>
  <si>
    <t>說明</t>
  </si>
  <si>
    <t>狀態</t>
  </si>
  <si>
    <t>2026/5/14</t>
  </si>
  <si>
    <t>得標日</t>
  </si>
  <si>
    <t>確定得標</t>
  </si>
  <si>
    <t>完成</t>
  </si>
  <si>
    <t>⚠ 2026/5/4（已過）</t>
  </si>
  <si>
    <t>★ 論壇前籌備會第1次</t>
  </si>
  <si>
    <t>論壇前60天=5/4，已早於決標日；決標後需立即安排</t>
  </si>
  <si>
    <t>⚠ 緊急</t>
  </si>
  <si>
    <t>2026/6/3</t>
  </si>
  <si>
    <t>論壇前籌備會第2次（最遲）</t>
  </si>
  <si>
    <t>論壇前30天；為第2期款70%請款條件</t>
  </si>
  <si>
    <t>★ 第一期款30%請款截止</t>
  </si>
  <si>
    <t>提交工作細部計畫書 + 召開計畫執行討論會</t>
  </si>
  <si>
    <t>論壇規劃/網頁/翻譯/外賓/文宣/禮品（提報）全數提交</t>
  </si>
  <si>
    <t>決標次日起D+30所有提報項目截止</t>
  </si>
  <si>
    <t>2026/6/18</t>
  </si>
  <si>
    <t>論壇工作人員國際禮儀訓練完成</t>
  </si>
  <si>
    <t>2026/6/19</t>
  </si>
  <si>
    <t>廣告媒體截止（報紙2則、數位10則、電視牆）</t>
  </si>
  <si>
    <t>論壇前14天截止刊登/上架</t>
  </si>
  <si>
    <t>2026/6/26</t>
  </si>
  <si>
    <t>活動保險投保完成</t>
  </si>
  <si>
    <t>論壇前7天截止</t>
  </si>
  <si>
    <t>餐飲訂位完成</t>
  </si>
  <si>
    <t>決標次日起D+45截止</t>
  </si>
  <si>
    <t>2026/7/2</t>
  </si>
  <si>
    <t>彩排、文宣/禮品送達會場</t>
  </si>
  <si>
    <t>論壇前1天；禮品獎狀須於會議前1日送達</t>
  </si>
  <si>
    <t>2026/7/3</t>
  </si>
  <si>
    <t>★ 論壇日</t>
  </si>
  <si>
    <t>2026臺中長照台日論壇（論壇日/五）</t>
  </si>
  <si>
    <t>2026/7/3（中午前）</t>
  </si>
  <si>
    <t>照片15-20張 + 新聞稿交付</t>
  </si>
  <si>
    <t>活動當日中午前提供</t>
  </si>
  <si>
    <t>2026/7/3（晚宴）</t>
  </si>
  <si>
    <t>3分鐘成果宣傳影片</t>
  </si>
  <si>
    <t>現場剪輯，晚宴時播放</t>
  </si>
  <si>
    <t>2026/7/3（活動後）</t>
  </si>
  <si>
    <t>場復清潔</t>
  </si>
  <si>
    <t>須經場地負責單位清點完成</t>
  </si>
  <si>
    <t>2026/7/3 後（儘速）</t>
  </si>
  <si>
    <t>報紙新聞稿1則（論壇後）</t>
  </si>
  <si>
    <t>論壇後儘速於三大報刊登</t>
  </si>
  <si>
    <t>2026/7/6</t>
  </si>
  <si>
    <t>2026/7/10</t>
  </si>
  <si>
    <t>未發送物品歸還本局</t>
  </si>
  <si>
    <t>活動結束後7日曆天</t>
  </si>
  <si>
    <t>2026/7/19</t>
  </si>
  <si>
    <t>長照服務推展系列影片完成</t>
  </si>
  <si>
    <t>活動結束次日起15日曆天（至少10分鐘）</t>
  </si>
  <si>
    <t>★ 第二期款70%請款 / 期末成果報告</t>
  </si>
  <si>
    <t>繳交期末總成果報告、驗收確認無待辦事項</t>
  </si>
  <si>
    <t>付款里程碑  |  2026臺中長照台日論壇（案號115B17）</t>
  </si>
  <si>
    <t>期數</t>
  </si>
  <si>
    <t>佔比</t>
  </si>
  <si>
    <t>金額（元）</t>
  </si>
  <si>
    <t>觸發條件</t>
  </si>
  <si>
    <t>第1期款（30%）</t>
  </si>
  <si>
    <t>30%</t>
  </si>
  <si>
    <t>決標次日起30日曆天內提交工作細部計畫書並召開計畫執行討論會，經本局審查通過後撥付</t>
  </si>
  <si>
    <t>第2期款（70%）</t>
  </si>
  <si>
    <t>70%</t>
  </si>
  <si>
    <t>(1) 活動前籌備會至少2次（活動前60日及30日各完成1次）
(2) 繳交期末總成果報告（紙本1式2份；電子檔1份）
(3) 2026/12/15前完成全案，經本局驗收通過確認無待辦事項</t>
  </si>
  <si>
    <t>合計</t>
  </si>
  <si>
    <t>100%</t>
  </si>
  <si>
    <t>⚠ 扣款風險清單  |  2026臺中長照台日論壇（案號115B17）  |  須逐一落實，避免扣款</t>
  </si>
  <si>
    <t>扣款項目</t>
  </si>
  <si>
    <t>標規依據</t>
  </si>
  <si>
    <t>扣款金額/計算方式</t>
  </si>
  <si>
    <t>上限</t>
  </si>
  <si>
    <t>活動網頁設計及報名系統建置未完成</t>
  </si>
  <si>
    <t>九（十一）1</t>
  </si>
  <si>
    <t>扣除契約價金5萬元</t>
  </si>
  <si>
    <t>5萬元</t>
  </si>
  <si>
    <t>注意</t>
  </si>
  <si>
    <t>報紙廣告未達2則</t>
  </si>
  <si>
    <t>九（十一）2</t>
  </si>
  <si>
    <t>每不足1則扣2萬元</t>
  </si>
  <si>
    <t>—</t>
  </si>
  <si>
    <t>活動新聞稿撰寫及發布未達至少1篇</t>
  </si>
  <si>
    <t>扣除契約價金1萬元</t>
  </si>
  <si>
    <t>1萬元</t>
  </si>
  <si>
    <t>數位廣編稿未達10則</t>
  </si>
  <si>
    <t>九（十一）3</t>
  </si>
  <si>
    <t>每不足1則扣1萬元</t>
  </si>
  <si>
    <t>該項目契約價金20%</t>
  </si>
  <si>
    <t>數位廣編稿總曝光未達200萬人次</t>
  </si>
  <si>
    <t>扣減之總額以該項目契約價金20%為限</t>
  </si>
  <si>
    <t>電視牆/電子看板廣告未達4,000檔次</t>
  </si>
  <si>
    <t>九（十一）4</t>
  </si>
  <si>
    <t>每不足1檔次扣1,000元</t>
  </si>
  <si>
    <t>網路廣告（電子報/刊登廣告）未達20則</t>
  </si>
  <si>
    <t>九（十一）5</t>
  </si>
  <si>
    <t>每不足1則扣1,000元</t>
  </si>
  <si>
    <t>長照服務推展系列影片未完成</t>
  </si>
  <si>
    <t>九（十一）6</t>
  </si>
  <si>
    <t>論壇活動滿意度調查未達成執行狀況</t>
  </si>
  <si>
    <t>九（十一）7</t>
  </si>
  <si>
    <t>依實際執行狀比例給付價金</t>
  </si>
  <si>
    <t>司機違規（抽菸/飲酒/嚼檳榔/使用手機/違規駕駛）</t>
  </si>
  <si>
    <t>五（二）外賓接待</t>
  </si>
  <si>
    <t>每次查屬實扣款5,000元</t>
  </si>
  <si>
    <t>公傳</t>
  </si>
  <si>
    <t>公傳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</si>
</sst>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新細明體"/>
      <family val="2"/>
      <scheme val="minor"/>
    </font>
    <font>
      <b/>
      <sz val="15"/>
      <color rgb="FFFFFFFF"/>
      <name val="Arial"/>
      <family val="2"/>
    </font>
    <font>
      <sz val="10"/>
      <color rgb="FFFFFFFF"/>
      <name val="Arial"/>
      <family val="2"/>
    </font>
    <font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C00000"/>
      <name val="Arial"/>
      <family val="2"/>
    </font>
    <font>
      <b/>
      <sz val="12"/>
      <color rgb="FFFFFFFF"/>
      <name val="Arial"/>
      <family val="2"/>
    </font>
    <font>
      <sz val="9"/>
      <color rgb="FFC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新細明體"/>
      <family val="3"/>
      <charset val="136"/>
      <scheme val="minor"/>
    </font>
    <font>
      <sz val="9"/>
      <color rgb="FF000000"/>
      <name val="Adobe Ming Std L"/>
      <family val="3"/>
      <charset val="136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4882"/>
        <bgColor rgb="FF2E4882"/>
      </patternFill>
    </fill>
    <fill>
      <patternFill patternType="solid">
        <fgColor rgb="FF3A5BA0"/>
        <bgColor rgb="FF3A5BA0"/>
      </patternFill>
    </fill>
    <fill>
      <patternFill patternType="solid">
        <fgColor rgb="FFFFD7D7"/>
        <bgColor rgb="FFFFD7D7"/>
      </patternFill>
    </fill>
    <fill>
      <patternFill patternType="solid">
        <fgColor rgb="FFDDEEFF"/>
        <bgColor rgb="FFDDEEFF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DE7F6"/>
        <bgColor rgb="FFEDE7F6"/>
      </patternFill>
    </fill>
    <fill>
      <patternFill patternType="solid">
        <fgColor rgb="FFFFFDE7"/>
        <bgColor rgb="FFFFFDE7"/>
      </patternFill>
    </fill>
    <fill>
      <patternFill patternType="solid">
        <fgColor rgb="FFFFE8E8"/>
        <bgColor rgb="FFFFE8E8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7030A0"/>
        <bgColor rgb="FF7030A0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EDF7E8"/>
        <bgColor rgb="FFEDF7E8"/>
      </patternFill>
    </fill>
    <fill>
      <patternFill patternType="solid">
        <fgColor rgb="FFD4EDDA"/>
        <bgColor rgb="FFD4EDDA"/>
      </patternFill>
    </fill>
    <fill>
      <patternFill patternType="solid">
        <fgColor rgb="FFC00000"/>
        <bgColor rgb="FFC00000"/>
      </patternFill>
    </fill>
    <fill>
      <patternFill patternType="solid">
        <fgColor rgb="FFFFCCCC"/>
        <bgColor rgb="FFFFCCCC"/>
      </patternFill>
    </fill>
    <fill>
      <patternFill patternType="solid">
        <fgColor rgb="FFFFE0E0"/>
        <bgColor rgb="FFFFE0E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3" fontId="11" fillId="18" borderId="1" xfId="0" applyNumberFormat="1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left" vertical="center" wrapText="1"/>
    </xf>
    <xf numFmtId="0" fontId="10" fillId="19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3" fontId="11" fillId="19" borderId="1" xfId="0" applyNumberFormat="1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3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Font="1" applyFill="1" applyBorder="1"/>
    <xf numFmtId="0" fontId="4" fillId="20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8" fillId="17" borderId="0" xfId="0" applyFont="1" applyFill="1" applyAlignment="1">
      <alignment horizontal="center" vertical="center" wrapText="1"/>
    </xf>
    <xf numFmtId="0" fontId="8" fillId="20" borderId="0" xfId="0" applyFont="1" applyFill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K49"/>
  <sheetViews>
    <sheetView tabSelected="1" workbookViewId="0">
      <pane ySplit="4" topLeftCell="A24" activePane="bottomLeft" state="frozen"/>
      <selection pane="bottomLeft" activeCell="G9" sqref="G9"/>
    </sheetView>
  </sheetViews>
  <sheetFormatPr baseColWidth="10" defaultColWidth="9" defaultRowHeight="14"/>
  <cols>
    <col min="1" max="1" width="5" customWidth="1"/>
    <col min="2" max="2" width="14" customWidth="1"/>
    <col min="3" max="3" width="24" customWidth="1"/>
    <col min="4" max="4" width="55" customWidth="1"/>
    <col min="5" max="5" width="26" customWidth="1"/>
    <col min="6" max="6" width="22" customWidth="1"/>
    <col min="7" max="7" width="14" customWidth="1"/>
    <col min="8" max="9" width="10" customWidth="1"/>
    <col min="10" max="10" width="36" customWidth="1"/>
    <col min="11" max="11" width="18" customWidth="1"/>
  </cols>
  <sheetData>
    <row r="1" spans="1:11" ht="26" customHeight="1">
      <c r="A1" s="62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ht="18" customHeight="1">
      <c r="A2" s="60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 ht="18" customHeight="1">
      <c r="A3" s="63" t="s">
        <v>2</v>
      </c>
      <c r="B3" s="61"/>
      <c r="C3" s="61"/>
      <c r="D3" s="61"/>
      <c r="E3" s="61"/>
      <c r="F3" s="61"/>
      <c r="G3" s="61"/>
      <c r="H3" s="61"/>
      <c r="I3" s="61"/>
      <c r="J3" s="61"/>
      <c r="K3" s="61"/>
    </row>
    <row r="4" spans="1:11" ht="26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</row>
    <row r="5" spans="1:11" ht="58" customHeight="1">
      <c r="A5" s="2">
        <v>1</v>
      </c>
      <c r="B5" s="3" t="s">
        <v>14</v>
      </c>
      <c r="C5" s="4" t="s">
        <v>15</v>
      </c>
      <c r="D5" s="3" t="s">
        <v>16</v>
      </c>
      <c r="E5" s="3" t="s">
        <v>17</v>
      </c>
      <c r="F5" s="3" t="s">
        <v>18</v>
      </c>
      <c r="G5" s="3"/>
      <c r="H5" s="3"/>
      <c r="I5" s="2" t="s">
        <v>19</v>
      </c>
      <c r="J5" s="3"/>
      <c r="K5" s="3" t="s">
        <v>20</v>
      </c>
    </row>
    <row r="6" spans="1:11" ht="58" customHeight="1">
      <c r="A6" s="2">
        <v>2</v>
      </c>
      <c r="B6" s="3" t="s">
        <v>14</v>
      </c>
      <c r="C6" s="4" t="s">
        <v>21</v>
      </c>
      <c r="D6" s="3" t="s">
        <v>22</v>
      </c>
      <c r="E6" s="3" t="s">
        <v>17</v>
      </c>
      <c r="F6" s="3" t="s">
        <v>18</v>
      </c>
      <c r="G6" s="3"/>
      <c r="H6" s="3"/>
      <c r="I6" s="2" t="s">
        <v>19</v>
      </c>
      <c r="J6" s="3" t="s">
        <v>23</v>
      </c>
      <c r="K6" s="3" t="s">
        <v>24</v>
      </c>
    </row>
    <row r="7" spans="1:11" ht="58" customHeight="1">
      <c r="A7" s="5">
        <v>3</v>
      </c>
      <c r="B7" s="6" t="s">
        <v>25</v>
      </c>
      <c r="C7" s="7" t="s">
        <v>26</v>
      </c>
      <c r="D7" s="6" t="s">
        <v>27</v>
      </c>
      <c r="E7" s="6" t="s">
        <v>17</v>
      </c>
      <c r="F7" s="6" t="s">
        <v>18</v>
      </c>
      <c r="G7" s="6" t="s">
        <v>286</v>
      </c>
      <c r="H7" s="6"/>
      <c r="I7" s="5" t="s">
        <v>19</v>
      </c>
      <c r="J7" s="6"/>
      <c r="K7" s="6" t="s">
        <v>28</v>
      </c>
    </row>
    <row r="8" spans="1:11" ht="58" customHeight="1">
      <c r="A8" s="5">
        <v>4</v>
      </c>
      <c r="B8" s="6" t="s">
        <v>25</v>
      </c>
      <c r="C8" s="7" t="s">
        <v>29</v>
      </c>
      <c r="D8" s="6" t="s">
        <v>30</v>
      </c>
      <c r="E8" s="6" t="s">
        <v>17</v>
      </c>
      <c r="F8" s="6" t="s">
        <v>18</v>
      </c>
      <c r="G8" s="6"/>
      <c r="H8" s="6"/>
      <c r="I8" s="5" t="s">
        <v>19</v>
      </c>
      <c r="J8" s="6"/>
      <c r="K8" s="6"/>
    </row>
    <row r="9" spans="1:11" ht="58" customHeight="1">
      <c r="A9" s="5">
        <v>5</v>
      </c>
      <c r="B9" s="6" t="s">
        <v>25</v>
      </c>
      <c r="C9" s="7" t="s">
        <v>31</v>
      </c>
      <c r="D9" s="6" t="s">
        <v>32</v>
      </c>
      <c r="E9" s="6" t="s">
        <v>17</v>
      </c>
      <c r="F9" s="6" t="s">
        <v>18</v>
      </c>
      <c r="G9" s="67" t="s">
        <v>285</v>
      </c>
      <c r="H9" s="6"/>
      <c r="I9" s="5" t="s">
        <v>19</v>
      </c>
      <c r="J9" s="6"/>
      <c r="K9" s="6" t="s">
        <v>33</v>
      </c>
    </row>
    <row r="10" spans="1:11" ht="58" customHeight="1">
      <c r="A10" s="5">
        <v>6</v>
      </c>
      <c r="B10" s="6" t="s">
        <v>25</v>
      </c>
      <c r="C10" s="7" t="s">
        <v>34</v>
      </c>
      <c r="D10" s="6" t="s">
        <v>35</v>
      </c>
      <c r="E10" s="6" t="s">
        <v>17</v>
      </c>
      <c r="F10" s="6" t="s">
        <v>18</v>
      </c>
      <c r="G10" s="6"/>
      <c r="H10" s="6"/>
      <c r="I10" s="5" t="s">
        <v>19</v>
      </c>
      <c r="J10" s="6"/>
      <c r="K10" s="6"/>
    </row>
    <row r="11" spans="1:11" ht="58" customHeight="1">
      <c r="A11" s="5">
        <v>7</v>
      </c>
      <c r="B11" s="6" t="s">
        <v>25</v>
      </c>
      <c r="C11" s="7" t="s">
        <v>36</v>
      </c>
      <c r="D11" s="6" t="s">
        <v>37</v>
      </c>
      <c r="E11" s="6" t="s">
        <v>17</v>
      </c>
      <c r="F11" s="6" t="s">
        <v>18</v>
      </c>
      <c r="G11" s="6"/>
      <c r="H11" s="6"/>
      <c r="I11" s="5" t="s">
        <v>19</v>
      </c>
      <c r="J11" s="6"/>
      <c r="K11" s="6"/>
    </row>
    <row r="12" spans="1:11" ht="58" customHeight="1">
      <c r="A12" s="5">
        <v>8</v>
      </c>
      <c r="B12" s="6" t="s">
        <v>25</v>
      </c>
      <c r="C12" s="7" t="s">
        <v>38</v>
      </c>
      <c r="D12" s="6" t="s">
        <v>39</v>
      </c>
      <c r="E12" s="6" t="s">
        <v>17</v>
      </c>
      <c r="F12" s="6" t="s">
        <v>18</v>
      </c>
      <c r="G12" s="6"/>
      <c r="H12" s="6"/>
      <c r="I12" s="5" t="s">
        <v>19</v>
      </c>
      <c r="J12" s="6"/>
      <c r="K12" s="6"/>
    </row>
    <row r="13" spans="1:11" ht="58" customHeight="1">
      <c r="A13" s="5">
        <v>9</v>
      </c>
      <c r="B13" s="6" t="s">
        <v>25</v>
      </c>
      <c r="C13" s="7" t="s">
        <v>40</v>
      </c>
      <c r="D13" s="6" t="s">
        <v>41</v>
      </c>
      <c r="E13" s="6" t="s">
        <v>17</v>
      </c>
      <c r="F13" s="6" t="s">
        <v>18</v>
      </c>
      <c r="G13" s="6"/>
      <c r="H13" s="6"/>
      <c r="I13" s="5" t="s">
        <v>19</v>
      </c>
      <c r="J13" s="6"/>
      <c r="K13" s="6"/>
    </row>
    <row r="14" spans="1:11" ht="58" customHeight="1">
      <c r="A14" s="5">
        <v>10</v>
      </c>
      <c r="B14" s="6" t="s">
        <v>42</v>
      </c>
      <c r="C14" s="7" t="s">
        <v>43</v>
      </c>
      <c r="D14" s="6" t="s">
        <v>44</v>
      </c>
      <c r="E14" s="6" t="s">
        <v>17</v>
      </c>
      <c r="F14" s="6" t="s">
        <v>18</v>
      </c>
      <c r="G14" s="6"/>
      <c r="H14" s="6"/>
      <c r="I14" s="5" t="s">
        <v>19</v>
      </c>
      <c r="J14" s="6" t="s">
        <v>45</v>
      </c>
      <c r="K14" s="6" t="s">
        <v>46</v>
      </c>
    </row>
    <row r="15" spans="1:11" ht="58" customHeight="1">
      <c r="A15" s="5">
        <v>11</v>
      </c>
      <c r="B15" s="6" t="s">
        <v>42</v>
      </c>
      <c r="C15" s="7" t="s">
        <v>47</v>
      </c>
      <c r="D15" s="6" t="s">
        <v>48</v>
      </c>
      <c r="E15" s="6" t="s">
        <v>17</v>
      </c>
      <c r="F15" s="6" t="s">
        <v>18</v>
      </c>
      <c r="G15" s="6"/>
      <c r="H15" s="6"/>
      <c r="I15" s="5" t="s">
        <v>19</v>
      </c>
      <c r="J15" s="6"/>
      <c r="K15" s="6"/>
    </row>
    <row r="16" spans="1:11" ht="58" customHeight="1">
      <c r="A16" s="8">
        <v>12</v>
      </c>
      <c r="B16" s="9" t="s">
        <v>49</v>
      </c>
      <c r="C16" s="10" t="s">
        <v>50</v>
      </c>
      <c r="D16" s="9" t="s">
        <v>51</v>
      </c>
      <c r="E16" s="9" t="s">
        <v>17</v>
      </c>
      <c r="F16" s="9" t="s">
        <v>18</v>
      </c>
      <c r="G16" s="9"/>
      <c r="H16" s="9"/>
      <c r="I16" s="8" t="s">
        <v>19</v>
      </c>
      <c r="J16" s="9"/>
      <c r="K16" s="9" t="s">
        <v>52</v>
      </c>
    </row>
    <row r="17" spans="1:11" ht="58" customHeight="1">
      <c r="A17" s="8">
        <v>13</v>
      </c>
      <c r="B17" s="9" t="s">
        <v>49</v>
      </c>
      <c r="C17" s="10" t="s">
        <v>53</v>
      </c>
      <c r="D17" s="9" t="s">
        <v>54</v>
      </c>
      <c r="E17" s="9" t="s">
        <v>17</v>
      </c>
      <c r="F17" s="9" t="s">
        <v>18</v>
      </c>
      <c r="G17" s="9"/>
      <c r="H17" s="9"/>
      <c r="I17" s="8" t="s">
        <v>19</v>
      </c>
      <c r="J17" s="9"/>
      <c r="K17" s="9" t="s">
        <v>55</v>
      </c>
    </row>
    <row r="18" spans="1:11" ht="58" customHeight="1">
      <c r="A18" s="8">
        <v>14</v>
      </c>
      <c r="B18" s="9" t="s">
        <v>49</v>
      </c>
      <c r="C18" s="10" t="s">
        <v>56</v>
      </c>
      <c r="D18" s="9" t="s">
        <v>57</v>
      </c>
      <c r="E18" s="9" t="s">
        <v>17</v>
      </c>
      <c r="F18" s="9" t="s">
        <v>18</v>
      </c>
      <c r="G18" s="9"/>
      <c r="H18" s="9"/>
      <c r="I18" s="8" t="s">
        <v>19</v>
      </c>
      <c r="J18" s="9"/>
      <c r="K18" s="9"/>
    </row>
    <row r="19" spans="1:11" ht="58" customHeight="1">
      <c r="A19" s="8">
        <v>15</v>
      </c>
      <c r="B19" s="9" t="s">
        <v>49</v>
      </c>
      <c r="C19" s="10" t="s">
        <v>58</v>
      </c>
      <c r="D19" s="9" t="s">
        <v>59</v>
      </c>
      <c r="E19" s="9" t="s">
        <v>17</v>
      </c>
      <c r="F19" s="9" t="s">
        <v>18</v>
      </c>
      <c r="G19" s="9"/>
      <c r="H19" s="9"/>
      <c r="I19" s="8" t="s">
        <v>19</v>
      </c>
      <c r="J19" s="9"/>
      <c r="K19" s="9"/>
    </row>
    <row r="20" spans="1:11" ht="58" customHeight="1">
      <c r="A20" s="8">
        <v>16</v>
      </c>
      <c r="B20" s="9" t="s">
        <v>49</v>
      </c>
      <c r="C20" s="10" t="s">
        <v>60</v>
      </c>
      <c r="D20" s="9" t="s">
        <v>61</v>
      </c>
      <c r="E20" s="9" t="s">
        <v>17</v>
      </c>
      <c r="F20" s="9" t="s">
        <v>18</v>
      </c>
      <c r="G20" s="9"/>
      <c r="H20" s="9"/>
      <c r="I20" s="8" t="s">
        <v>19</v>
      </c>
      <c r="J20" s="9"/>
      <c r="K20" s="9"/>
    </row>
    <row r="21" spans="1:11" ht="58" customHeight="1">
      <c r="A21" s="8">
        <v>17</v>
      </c>
      <c r="B21" s="9" t="s">
        <v>62</v>
      </c>
      <c r="C21" s="10" t="s">
        <v>63</v>
      </c>
      <c r="D21" s="9" t="s">
        <v>64</v>
      </c>
      <c r="E21" s="9" t="s">
        <v>17</v>
      </c>
      <c r="F21" s="9" t="s">
        <v>18</v>
      </c>
      <c r="G21" s="9"/>
      <c r="H21" s="9"/>
      <c r="I21" s="8" t="s">
        <v>19</v>
      </c>
      <c r="J21" s="9"/>
      <c r="K21" s="9" t="s">
        <v>65</v>
      </c>
    </row>
    <row r="22" spans="1:11" ht="58" customHeight="1">
      <c r="A22" s="8">
        <v>18</v>
      </c>
      <c r="B22" s="9" t="s">
        <v>62</v>
      </c>
      <c r="C22" s="10" t="s">
        <v>66</v>
      </c>
      <c r="D22" s="9" t="s">
        <v>67</v>
      </c>
      <c r="E22" s="9" t="s">
        <v>17</v>
      </c>
      <c r="F22" s="9" t="s">
        <v>18</v>
      </c>
      <c r="G22" s="9"/>
      <c r="H22" s="9"/>
      <c r="I22" s="8" t="s">
        <v>19</v>
      </c>
      <c r="J22" s="9"/>
      <c r="K22" s="9"/>
    </row>
    <row r="23" spans="1:11" ht="58" customHeight="1">
      <c r="A23" s="8">
        <v>19</v>
      </c>
      <c r="B23" s="9" t="s">
        <v>62</v>
      </c>
      <c r="C23" s="10" t="s">
        <v>68</v>
      </c>
      <c r="D23" s="9" t="s">
        <v>69</v>
      </c>
      <c r="E23" s="9" t="s">
        <v>17</v>
      </c>
      <c r="F23" s="9" t="s">
        <v>18</v>
      </c>
      <c r="G23" s="9"/>
      <c r="H23" s="9"/>
      <c r="I23" s="8" t="s">
        <v>19</v>
      </c>
      <c r="J23" s="9"/>
      <c r="K23" s="9"/>
    </row>
    <row r="24" spans="1:11" ht="58" customHeight="1">
      <c r="A24" s="8">
        <v>20</v>
      </c>
      <c r="B24" s="9" t="s">
        <v>70</v>
      </c>
      <c r="C24" s="10" t="s">
        <v>71</v>
      </c>
      <c r="D24" s="9" t="s">
        <v>72</v>
      </c>
      <c r="E24" s="9" t="s">
        <v>17</v>
      </c>
      <c r="F24" s="9" t="s">
        <v>18</v>
      </c>
      <c r="G24" s="9"/>
      <c r="H24" s="9"/>
      <c r="I24" s="8" t="s">
        <v>19</v>
      </c>
      <c r="J24" s="9" t="s">
        <v>73</v>
      </c>
      <c r="K24" s="9"/>
    </row>
    <row r="25" spans="1:11" ht="58" customHeight="1">
      <c r="A25" s="8">
        <v>21</v>
      </c>
      <c r="B25" s="9" t="s">
        <v>70</v>
      </c>
      <c r="C25" s="10" t="s">
        <v>74</v>
      </c>
      <c r="D25" s="9" t="s">
        <v>75</v>
      </c>
      <c r="E25" s="9" t="s">
        <v>17</v>
      </c>
      <c r="F25" s="9" t="s">
        <v>18</v>
      </c>
      <c r="G25" s="9"/>
      <c r="H25" s="9"/>
      <c r="I25" s="8" t="s">
        <v>19</v>
      </c>
      <c r="J25" s="9"/>
      <c r="K25" s="9"/>
    </row>
    <row r="26" spans="1:11" ht="58" customHeight="1">
      <c r="A26" s="11">
        <v>22</v>
      </c>
      <c r="B26" s="12" t="s">
        <v>76</v>
      </c>
      <c r="C26" s="13" t="s">
        <v>77</v>
      </c>
      <c r="D26" s="12" t="s">
        <v>78</v>
      </c>
      <c r="E26" s="12" t="s">
        <v>79</v>
      </c>
      <c r="F26" s="12" t="s">
        <v>80</v>
      </c>
      <c r="G26" s="12"/>
      <c r="H26" s="12"/>
      <c r="I26" s="11" t="s">
        <v>19</v>
      </c>
      <c r="J26" s="12"/>
      <c r="K26" s="12" t="s">
        <v>81</v>
      </c>
    </row>
    <row r="27" spans="1:11" ht="58" customHeight="1">
      <c r="A27" s="14">
        <v>23</v>
      </c>
      <c r="B27" s="15" t="s">
        <v>82</v>
      </c>
      <c r="C27" s="16" t="s">
        <v>83</v>
      </c>
      <c r="D27" s="15" t="s">
        <v>84</v>
      </c>
      <c r="E27" s="15" t="s">
        <v>17</v>
      </c>
      <c r="F27" s="15" t="s">
        <v>18</v>
      </c>
      <c r="G27" s="15"/>
      <c r="H27" s="15"/>
      <c r="I27" s="14" t="s">
        <v>19</v>
      </c>
      <c r="J27" s="15"/>
      <c r="K27" s="15"/>
    </row>
    <row r="28" spans="1:11" ht="58" customHeight="1">
      <c r="A28" s="14">
        <v>24</v>
      </c>
      <c r="B28" s="15" t="s">
        <v>82</v>
      </c>
      <c r="C28" s="16" t="s">
        <v>85</v>
      </c>
      <c r="D28" s="15" t="s">
        <v>86</v>
      </c>
      <c r="E28" s="15" t="s">
        <v>17</v>
      </c>
      <c r="F28" s="15" t="s">
        <v>18</v>
      </c>
      <c r="G28" s="15"/>
      <c r="H28" s="15"/>
      <c r="I28" s="14" t="s">
        <v>19</v>
      </c>
      <c r="J28" s="15"/>
      <c r="K28" s="15"/>
    </row>
    <row r="29" spans="1:11" ht="58" customHeight="1">
      <c r="A29" s="14">
        <v>25</v>
      </c>
      <c r="B29" s="15" t="s">
        <v>82</v>
      </c>
      <c r="C29" s="16" t="s">
        <v>87</v>
      </c>
      <c r="D29" s="15" t="s">
        <v>88</v>
      </c>
      <c r="E29" s="15" t="s">
        <v>89</v>
      </c>
      <c r="F29" s="15" t="s">
        <v>90</v>
      </c>
      <c r="G29" s="15"/>
      <c r="H29" s="15"/>
      <c r="I29" s="14" t="s">
        <v>19</v>
      </c>
      <c r="J29" s="15" t="s">
        <v>91</v>
      </c>
      <c r="K29" s="15"/>
    </row>
    <row r="30" spans="1:11" ht="58" customHeight="1">
      <c r="A30" s="14">
        <v>26</v>
      </c>
      <c r="B30" s="15" t="s">
        <v>82</v>
      </c>
      <c r="C30" s="16" t="s">
        <v>92</v>
      </c>
      <c r="D30" s="15" t="s">
        <v>93</v>
      </c>
      <c r="E30" s="15" t="s">
        <v>17</v>
      </c>
      <c r="F30" s="15" t="s">
        <v>18</v>
      </c>
      <c r="G30" s="15"/>
      <c r="H30" s="15"/>
      <c r="I30" s="14" t="s">
        <v>19</v>
      </c>
      <c r="J30" s="15"/>
      <c r="K30" s="15"/>
    </row>
    <row r="31" spans="1:11" ht="58" customHeight="1">
      <c r="A31" s="14">
        <v>27</v>
      </c>
      <c r="B31" s="15" t="s">
        <v>94</v>
      </c>
      <c r="C31" s="16" t="s">
        <v>95</v>
      </c>
      <c r="D31" s="15" t="s">
        <v>96</v>
      </c>
      <c r="E31" s="15" t="s">
        <v>89</v>
      </c>
      <c r="F31" s="15" t="s">
        <v>90</v>
      </c>
      <c r="G31" s="15"/>
      <c r="H31" s="15"/>
      <c r="I31" s="14" t="s">
        <v>19</v>
      </c>
      <c r="J31" s="15" t="s">
        <v>97</v>
      </c>
      <c r="K31" s="15"/>
    </row>
    <row r="32" spans="1:11" ht="58" customHeight="1">
      <c r="A32" s="17">
        <v>28</v>
      </c>
      <c r="B32" s="18" t="s">
        <v>98</v>
      </c>
      <c r="C32" s="19" t="s">
        <v>99</v>
      </c>
      <c r="D32" s="18" t="s">
        <v>100</v>
      </c>
      <c r="E32" s="18" t="s">
        <v>101</v>
      </c>
      <c r="F32" s="18" t="s">
        <v>102</v>
      </c>
      <c r="G32" s="18"/>
      <c r="H32" s="18"/>
      <c r="I32" s="17" t="s">
        <v>19</v>
      </c>
      <c r="J32" s="18" t="s">
        <v>103</v>
      </c>
      <c r="K32" s="18" t="s">
        <v>104</v>
      </c>
    </row>
    <row r="33" spans="1:11" ht="58" customHeight="1">
      <c r="A33" s="17">
        <v>29</v>
      </c>
      <c r="B33" s="18" t="s">
        <v>98</v>
      </c>
      <c r="C33" s="19" t="s">
        <v>105</v>
      </c>
      <c r="D33" s="18" t="s">
        <v>106</v>
      </c>
      <c r="E33" s="18" t="s">
        <v>107</v>
      </c>
      <c r="F33" s="18" t="s">
        <v>108</v>
      </c>
      <c r="G33" s="18"/>
      <c r="H33" s="18"/>
      <c r="I33" s="17" t="s">
        <v>19</v>
      </c>
      <c r="J33" s="18" t="s">
        <v>109</v>
      </c>
      <c r="K33" s="18"/>
    </row>
    <row r="34" spans="1:11" ht="58" customHeight="1">
      <c r="A34" s="17">
        <v>30</v>
      </c>
      <c r="B34" s="18" t="s">
        <v>98</v>
      </c>
      <c r="C34" s="19" t="s">
        <v>110</v>
      </c>
      <c r="D34" s="18" t="s">
        <v>111</v>
      </c>
      <c r="E34" s="18" t="s">
        <v>112</v>
      </c>
      <c r="F34" s="18" t="s">
        <v>102</v>
      </c>
      <c r="G34" s="18"/>
      <c r="H34" s="18"/>
      <c r="I34" s="17" t="s">
        <v>19</v>
      </c>
      <c r="J34" s="18" t="s">
        <v>113</v>
      </c>
      <c r="K34" s="18"/>
    </row>
    <row r="35" spans="1:11" ht="58" customHeight="1">
      <c r="A35" s="17">
        <v>31</v>
      </c>
      <c r="B35" s="18" t="s">
        <v>98</v>
      </c>
      <c r="C35" s="19" t="s">
        <v>114</v>
      </c>
      <c r="D35" s="18" t="s">
        <v>115</v>
      </c>
      <c r="E35" s="18" t="s">
        <v>116</v>
      </c>
      <c r="F35" s="18" t="s">
        <v>102</v>
      </c>
      <c r="G35" s="18"/>
      <c r="H35" s="18"/>
      <c r="I35" s="17" t="s">
        <v>19</v>
      </c>
      <c r="J35" s="18" t="s">
        <v>117</v>
      </c>
      <c r="K35" s="18"/>
    </row>
    <row r="36" spans="1:11" ht="58" customHeight="1">
      <c r="A36" s="17">
        <v>32</v>
      </c>
      <c r="B36" s="18" t="s">
        <v>98</v>
      </c>
      <c r="C36" s="19" t="s">
        <v>118</v>
      </c>
      <c r="D36" s="18" t="s">
        <v>119</v>
      </c>
      <c r="E36" s="18" t="s">
        <v>120</v>
      </c>
      <c r="F36" s="18" t="s">
        <v>121</v>
      </c>
      <c r="G36" s="18"/>
      <c r="H36" s="18"/>
      <c r="I36" s="17" t="s">
        <v>19</v>
      </c>
      <c r="J36" s="18" t="s">
        <v>122</v>
      </c>
      <c r="K36" s="18"/>
    </row>
    <row r="37" spans="1:11" ht="58" customHeight="1">
      <c r="A37" s="20">
        <v>33</v>
      </c>
      <c r="B37" s="21" t="s">
        <v>123</v>
      </c>
      <c r="C37" s="22" t="s">
        <v>124</v>
      </c>
      <c r="D37" s="21" t="s">
        <v>125</v>
      </c>
      <c r="E37" s="21" t="s">
        <v>126</v>
      </c>
      <c r="F37" s="23" t="s">
        <v>127</v>
      </c>
      <c r="G37" s="21"/>
      <c r="H37" s="21"/>
      <c r="I37" s="20" t="s">
        <v>19</v>
      </c>
      <c r="J37" s="21" t="s">
        <v>128</v>
      </c>
      <c r="K37" s="21" t="s">
        <v>129</v>
      </c>
    </row>
    <row r="38" spans="1:11" ht="58" customHeight="1">
      <c r="A38" s="24">
        <v>34</v>
      </c>
      <c r="B38" s="25" t="s">
        <v>123</v>
      </c>
      <c r="C38" s="26" t="s">
        <v>130</v>
      </c>
      <c r="D38" s="25" t="s">
        <v>131</v>
      </c>
      <c r="E38" s="25" t="s">
        <v>132</v>
      </c>
      <c r="F38" s="25" t="s">
        <v>121</v>
      </c>
      <c r="G38" s="25"/>
      <c r="H38" s="25"/>
      <c r="I38" s="24" t="s">
        <v>19</v>
      </c>
      <c r="J38" s="25"/>
      <c r="K38" s="25"/>
    </row>
    <row r="39" spans="1:11" ht="58" customHeight="1">
      <c r="A39" s="24">
        <v>35</v>
      </c>
      <c r="B39" s="25" t="s">
        <v>123</v>
      </c>
      <c r="C39" s="26" t="s">
        <v>133</v>
      </c>
      <c r="D39" s="25" t="s">
        <v>134</v>
      </c>
      <c r="E39" s="25" t="s">
        <v>135</v>
      </c>
      <c r="F39" s="25" t="s">
        <v>136</v>
      </c>
      <c r="G39" s="25"/>
      <c r="H39" s="25"/>
      <c r="I39" s="24" t="s">
        <v>19</v>
      </c>
      <c r="J39" s="25"/>
      <c r="K39" s="25"/>
    </row>
    <row r="40" spans="1:11" ht="58" customHeight="1">
      <c r="A40" s="24">
        <v>36</v>
      </c>
      <c r="B40" s="25" t="s">
        <v>123</v>
      </c>
      <c r="C40" s="26" t="s">
        <v>137</v>
      </c>
      <c r="D40" s="25" t="s">
        <v>138</v>
      </c>
      <c r="E40" s="25" t="s">
        <v>139</v>
      </c>
      <c r="F40" s="25" t="s">
        <v>140</v>
      </c>
      <c r="G40" s="25"/>
      <c r="H40" s="25"/>
      <c r="I40" s="24" t="s">
        <v>19</v>
      </c>
      <c r="J40" s="25"/>
      <c r="K40" s="25"/>
    </row>
    <row r="41" spans="1:11" ht="58" customHeight="1">
      <c r="A41" s="24">
        <v>37</v>
      </c>
      <c r="B41" s="25" t="s">
        <v>123</v>
      </c>
      <c r="C41" s="26" t="s">
        <v>141</v>
      </c>
      <c r="D41" s="25" t="s">
        <v>142</v>
      </c>
      <c r="E41" s="25" t="s">
        <v>143</v>
      </c>
      <c r="F41" s="25" t="s">
        <v>144</v>
      </c>
      <c r="G41" s="25"/>
      <c r="H41" s="25"/>
      <c r="I41" s="24" t="s">
        <v>19</v>
      </c>
      <c r="J41" s="25"/>
      <c r="K41" s="25"/>
    </row>
    <row r="42" spans="1:11" ht="58" customHeight="1">
      <c r="A42" s="27">
        <v>38</v>
      </c>
      <c r="B42" s="28" t="s">
        <v>145</v>
      </c>
      <c r="C42" s="29" t="s">
        <v>146</v>
      </c>
      <c r="D42" s="28" t="s">
        <v>147</v>
      </c>
      <c r="E42" s="28" t="s">
        <v>148</v>
      </c>
      <c r="F42" s="28" t="s">
        <v>149</v>
      </c>
      <c r="G42" s="28"/>
      <c r="H42" s="28"/>
      <c r="I42" s="27" t="s">
        <v>19</v>
      </c>
      <c r="J42" s="28"/>
      <c r="K42" s="28"/>
    </row>
    <row r="43" spans="1:11" ht="58" customHeight="1">
      <c r="A43" s="27">
        <v>39</v>
      </c>
      <c r="B43" s="28" t="s">
        <v>145</v>
      </c>
      <c r="C43" s="29" t="s">
        <v>150</v>
      </c>
      <c r="D43" s="28" t="s">
        <v>151</v>
      </c>
      <c r="E43" s="28" t="s">
        <v>152</v>
      </c>
      <c r="F43" s="28" t="s">
        <v>153</v>
      </c>
      <c r="G43" s="28"/>
      <c r="H43" s="28"/>
      <c r="I43" s="27" t="s">
        <v>19</v>
      </c>
      <c r="J43" s="28"/>
      <c r="K43" s="28"/>
    </row>
    <row r="44" spans="1:11" ht="58" customHeight="1">
      <c r="A44" s="27">
        <v>40</v>
      </c>
      <c r="B44" s="28" t="s">
        <v>145</v>
      </c>
      <c r="C44" s="29" t="s">
        <v>154</v>
      </c>
      <c r="D44" s="28" t="s">
        <v>155</v>
      </c>
      <c r="E44" s="28" t="s">
        <v>156</v>
      </c>
      <c r="F44" s="28" t="s">
        <v>157</v>
      </c>
      <c r="G44" s="28"/>
      <c r="H44" s="28"/>
      <c r="I44" s="27" t="s">
        <v>19</v>
      </c>
      <c r="J44" s="28"/>
      <c r="K44" s="28"/>
    </row>
    <row r="45" spans="1:11" ht="58" customHeight="1">
      <c r="A45" s="2">
        <v>41</v>
      </c>
      <c r="B45" s="3" t="s">
        <v>158</v>
      </c>
      <c r="C45" s="4" t="s">
        <v>159</v>
      </c>
      <c r="D45" s="3" t="s">
        <v>160</v>
      </c>
      <c r="E45" s="3" t="s">
        <v>161</v>
      </c>
      <c r="F45" s="3" t="s">
        <v>162</v>
      </c>
      <c r="G45" s="3"/>
      <c r="H45" s="3"/>
      <c r="I45" s="2" t="s">
        <v>19</v>
      </c>
      <c r="J45" s="3"/>
      <c r="K45" s="3"/>
    </row>
    <row r="46" spans="1:11" ht="58" customHeight="1">
      <c r="A46" s="2">
        <v>42</v>
      </c>
      <c r="B46" s="3" t="s">
        <v>158</v>
      </c>
      <c r="C46" s="4" t="s">
        <v>163</v>
      </c>
      <c r="D46" s="3" t="s">
        <v>164</v>
      </c>
      <c r="E46" s="3" t="s">
        <v>165</v>
      </c>
      <c r="F46" s="3" t="s">
        <v>166</v>
      </c>
      <c r="G46" s="3"/>
      <c r="H46" s="3"/>
      <c r="I46" s="2" t="s">
        <v>19</v>
      </c>
      <c r="J46" s="3" t="s">
        <v>167</v>
      </c>
      <c r="K46" s="3"/>
    </row>
    <row r="47" spans="1:11" ht="58" customHeight="1">
      <c r="A47" s="2">
        <v>43</v>
      </c>
      <c r="B47" s="3" t="s">
        <v>158</v>
      </c>
      <c r="C47" s="4" t="s">
        <v>168</v>
      </c>
      <c r="D47" s="3" t="s">
        <v>169</v>
      </c>
      <c r="E47" s="3" t="s">
        <v>170</v>
      </c>
      <c r="F47" s="3" t="s">
        <v>171</v>
      </c>
      <c r="G47" s="3"/>
      <c r="H47" s="3"/>
      <c r="I47" s="2" t="s">
        <v>19</v>
      </c>
      <c r="J47" s="3" t="s">
        <v>172</v>
      </c>
      <c r="K47" s="3"/>
    </row>
    <row r="48" spans="1:11" ht="58" customHeight="1">
      <c r="A48" s="2">
        <v>44</v>
      </c>
      <c r="B48" s="3" t="s">
        <v>158</v>
      </c>
      <c r="C48" s="4" t="s">
        <v>173</v>
      </c>
      <c r="D48" s="3" t="s">
        <v>174</v>
      </c>
      <c r="E48" s="3" t="s">
        <v>170</v>
      </c>
      <c r="F48" s="3" t="s">
        <v>171</v>
      </c>
      <c r="G48" s="3"/>
      <c r="H48" s="3"/>
      <c r="I48" s="2" t="s">
        <v>19</v>
      </c>
      <c r="J48" s="3" t="s">
        <v>128</v>
      </c>
      <c r="K48" s="3"/>
    </row>
    <row r="49" spans="1:11" ht="58" customHeight="1">
      <c r="A49" s="2">
        <v>45</v>
      </c>
      <c r="B49" s="3" t="s">
        <v>158</v>
      </c>
      <c r="C49" s="4" t="s">
        <v>175</v>
      </c>
      <c r="D49" s="3" t="s">
        <v>176</v>
      </c>
      <c r="E49" s="3" t="s">
        <v>177</v>
      </c>
      <c r="F49" s="3" t="s">
        <v>178</v>
      </c>
      <c r="G49" s="3"/>
      <c r="H49" s="3"/>
      <c r="I49" s="2" t="s">
        <v>19</v>
      </c>
      <c r="J49" s="3"/>
      <c r="K49" s="3"/>
    </row>
  </sheetData>
  <mergeCells count="3">
    <mergeCell ref="A2:K2"/>
    <mergeCell ref="A1:K1"/>
    <mergeCell ref="A3:K3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D21"/>
  <sheetViews>
    <sheetView workbookViewId="0">
      <pane ySplit="2" topLeftCell="A3" activePane="bottomLeft" state="frozen"/>
      <selection pane="bottomLeft" sqref="A1:D1"/>
    </sheetView>
  </sheetViews>
  <sheetFormatPr baseColWidth="10" defaultColWidth="9" defaultRowHeight="14"/>
  <cols>
    <col min="1" max="1" width="24" customWidth="1"/>
    <col min="2" max="2" width="36" customWidth="1"/>
    <col min="3" max="3" width="52" customWidth="1"/>
    <col min="4" max="4" width="12" customWidth="1"/>
  </cols>
  <sheetData>
    <row r="1" spans="1:4" ht="22" customHeight="1">
      <c r="A1" s="64" t="s">
        <v>179</v>
      </c>
      <c r="B1" s="61"/>
      <c r="C1" s="61"/>
      <c r="D1" s="61"/>
    </row>
    <row r="2" spans="1:4" ht="22" customHeight="1">
      <c r="A2" s="30" t="s">
        <v>8</v>
      </c>
      <c r="B2" s="30" t="s">
        <v>180</v>
      </c>
      <c r="C2" s="30" t="s">
        <v>181</v>
      </c>
      <c r="D2" s="30" t="s">
        <v>182</v>
      </c>
    </row>
    <row r="3" spans="1:4" ht="32" customHeight="1">
      <c r="A3" s="31" t="s">
        <v>183</v>
      </c>
      <c r="B3" s="32" t="s">
        <v>184</v>
      </c>
      <c r="C3" s="33" t="s">
        <v>185</v>
      </c>
      <c r="D3" s="34" t="s">
        <v>186</v>
      </c>
    </row>
    <row r="4" spans="1:4" ht="32" customHeight="1">
      <c r="A4" s="35" t="s">
        <v>187</v>
      </c>
      <c r="B4" s="36" t="s">
        <v>188</v>
      </c>
      <c r="C4" s="37" t="s">
        <v>189</v>
      </c>
      <c r="D4" s="38" t="s">
        <v>190</v>
      </c>
    </row>
    <row r="5" spans="1:4" ht="32" customHeight="1">
      <c r="A5" s="39" t="s">
        <v>191</v>
      </c>
      <c r="B5" s="40" t="s">
        <v>192</v>
      </c>
      <c r="C5" s="41" t="s">
        <v>193</v>
      </c>
      <c r="D5" s="42" t="s">
        <v>19</v>
      </c>
    </row>
    <row r="6" spans="1:4" ht="32" customHeight="1">
      <c r="A6" s="39" t="s">
        <v>18</v>
      </c>
      <c r="B6" s="40" t="s">
        <v>194</v>
      </c>
      <c r="C6" s="41" t="s">
        <v>195</v>
      </c>
      <c r="D6" s="42" t="s">
        <v>19</v>
      </c>
    </row>
    <row r="7" spans="1:4" ht="32" customHeight="1">
      <c r="A7" s="39" t="s">
        <v>18</v>
      </c>
      <c r="B7" s="40" t="s">
        <v>196</v>
      </c>
      <c r="C7" s="41" t="s">
        <v>197</v>
      </c>
      <c r="D7" s="42" t="s">
        <v>19</v>
      </c>
    </row>
    <row r="8" spans="1:4" ht="32" customHeight="1">
      <c r="A8" s="39" t="s">
        <v>198</v>
      </c>
      <c r="B8" s="40" t="s">
        <v>133</v>
      </c>
      <c r="C8" s="41" t="s">
        <v>199</v>
      </c>
      <c r="D8" s="42" t="s">
        <v>19</v>
      </c>
    </row>
    <row r="9" spans="1:4" ht="32" customHeight="1">
      <c r="A9" s="39" t="s">
        <v>200</v>
      </c>
      <c r="B9" s="40" t="s">
        <v>201</v>
      </c>
      <c r="C9" s="41" t="s">
        <v>202</v>
      </c>
      <c r="D9" s="42" t="s">
        <v>19</v>
      </c>
    </row>
    <row r="10" spans="1:4" ht="32" customHeight="1">
      <c r="A10" s="39" t="s">
        <v>203</v>
      </c>
      <c r="B10" s="40" t="s">
        <v>204</v>
      </c>
      <c r="C10" s="41" t="s">
        <v>205</v>
      </c>
      <c r="D10" s="42" t="s">
        <v>19</v>
      </c>
    </row>
    <row r="11" spans="1:4" ht="32" customHeight="1">
      <c r="A11" s="39" t="s">
        <v>80</v>
      </c>
      <c r="B11" s="40" t="s">
        <v>206</v>
      </c>
      <c r="C11" s="41" t="s">
        <v>207</v>
      </c>
      <c r="D11" s="42" t="s">
        <v>19</v>
      </c>
    </row>
    <row r="12" spans="1:4" ht="32" customHeight="1">
      <c r="A12" s="39" t="s">
        <v>208</v>
      </c>
      <c r="B12" s="40" t="s">
        <v>209</v>
      </c>
      <c r="C12" s="41" t="s">
        <v>210</v>
      </c>
      <c r="D12" s="42" t="s">
        <v>19</v>
      </c>
    </row>
    <row r="13" spans="1:4" ht="32" customHeight="1">
      <c r="A13" s="39" t="s">
        <v>211</v>
      </c>
      <c r="B13" s="40" t="s">
        <v>212</v>
      </c>
      <c r="C13" s="41" t="s">
        <v>213</v>
      </c>
      <c r="D13" s="42" t="s">
        <v>19</v>
      </c>
    </row>
    <row r="14" spans="1:4" ht="32" customHeight="1">
      <c r="A14" s="39" t="s">
        <v>214</v>
      </c>
      <c r="B14" s="40" t="s">
        <v>215</v>
      </c>
      <c r="C14" s="41" t="s">
        <v>216</v>
      </c>
      <c r="D14" s="42" t="s">
        <v>19</v>
      </c>
    </row>
    <row r="15" spans="1:4" ht="32" customHeight="1">
      <c r="A15" s="39" t="s">
        <v>217</v>
      </c>
      <c r="B15" s="40" t="s">
        <v>218</v>
      </c>
      <c r="C15" s="41" t="s">
        <v>219</v>
      </c>
      <c r="D15" s="42" t="s">
        <v>19</v>
      </c>
    </row>
    <row r="16" spans="1:4" ht="32" customHeight="1">
      <c r="A16" s="39" t="s">
        <v>220</v>
      </c>
      <c r="B16" s="40" t="s">
        <v>221</v>
      </c>
      <c r="C16" s="41" t="s">
        <v>222</v>
      </c>
      <c r="D16" s="42" t="s">
        <v>19</v>
      </c>
    </row>
    <row r="17" spans="1:4" ht="32" customHeight="1">
      <c r="A17" s="39" t="s">
        <v>223</v>
      </c>
      <c r="B17" s="40" t="s">
        <v>224</v>
      </c>
      <c r="C17" s="41" t="s">
        <v>225</v>
      </c>
      <c r="D17" s="42" t="s">
        <v>19</v>
      </c>
    </row>
    <row r="18" spans="1:4" ht="32" customHeight="1">
      <c r="A18" s="39" t="s">
        <v>226</v>
      </c>
      <c r="B18" s="40" t="s">
        <v>159</v>
      </c>
      <c r="C18" s="41" t="s">
        <v>161</v>
      </c>
      <c r="D18" s="42" t="s">
        <v>19</v>
      </c>
    </row>
    <row r="19" spans="1:4" ht="32" customHeight="1">
      <c r="A19" s="39" t="s">
        <v>227</v>
      </c>
      <c r="B19" s="40" t="s">
        <v>228</v>
      </c>
      <c r="C19" s="41" t="s">
        <v>229</v>
      </c>
      <c r="D19" s="42" t="s">
        <v>19</v>
      </c>
    </row>
    <row r="20" spans="1:4" ht="32" customHeight="1">
      <c r="A20" s="39" t="s">
        <v>230</v>
      </c>
      <c r="B20" s="40" t="s">
        <v>231</v>
      </c>
      <c r="C20" s="41" t="s">
        <v>232</v>
      </c>
      <c r="D20" s="42" t="s">
        <v>19</v>
      </c>
    </row>
    <row r="21" spans="1:4" ht="32" customHeight="1">
      <c r="A21" s="39" t="s">
        <v>171</v>
      </c>
      <c r="B21" s="40" t="s">
        <v>233</v>
      </c>
      <c r="C21" s="41" t="s">
        <v>234</v>
      </c>
      <c r="D21" s="42" t="s">
        <v>19</v>
      </c>
    </row>
  </sheetData>
  <mergeCells count="1">
    <mergeCell ref="A1:D1"/>
  </mergeCells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F5"/>
  <sheetViews>
    <sheetView workbookViewId="0"/>
  </sheetViews>
  <sheetFormatPr baseColWidth="10" defaultColWidth="9" defaultRowHeight="14"/>
  <cols>
    <col min="1" max="1" width="18" customWidth="1"/>
    <col min="2" max="2" width="8" customWidth="1"/>
    <col min="3" max="3" width="14" customWidth="1"/>
    <col min="4" max="4" width="56" customWidth="1"/>
    <col min="5" max="5" width="14" customWidth="1"/>
    <col min="6" max="6" width="10" customWidth="1"/>
  </cols>
  <sheetData>
    <row r="1" spans="1:6" ht="22" customHeight="1">
      <c r="A1" s="65" t="s">
        <v>235</v>
      </c>
      <c r="B1" s="61"/>
      <c r="C1" s="61"/>
      <c r="D1" s="61"/>
      <c r="E1" s="61"/>
      <c r="F1" s="61"/>
    </row>
    <row r="2" spans="1:6" ht="22" customHeight="1">
      <c r="A2" s="43" t="s">
        <v>236</v>
      </c>
      <c r="B2" s="43" t="s">
        <v>237</v>
      </c>
      <c r="C2" s="43" t="s">
        <v>238</v>
      </c>
      <c r="D2" s="43" t="s">
        <v>239</v>
      </c>
      <c r="E2" s="43" t="s">
        <v>8</v>
      </c>
      <c r="F2" s="43" t="s">
        <v>182</v>
      </c>
    </row>
    <row r="3" spans="1:6" ht="70" customHeight="1">
      <c r="A3" s="44" t="s">
        <v>240</v>
      </c>
      <c r="B3" s="45" t="s">
        <v>241</v>
      </c>
      <c r="C3" s="46">
        <v>600000</v>
      </c>
      <c r="D3" s="47" t="s">
        <v>242</v>
      </c>
      <c r="E3" s="45" t="s">
        <v>18</v>
      </c>
      <c r="F3" s="45" t="s">
        <v>19</v>
      </c>
    </row>
    <row r="4" spans="1:6" ht="70" customHeight="1">
      <c r="A4" s="48" t="s">
        <v>243</v>
      </c>
      <c r="B4" s="49" t="s">
        <v>244</v>
      </c>
      <c r="C4" s="50">
        <v>1400000</v>
      </c>
      <c r="D4" s="51" t="s">
        <v>245</v>
      </c>
      <c r="E4" s="49" t="s">
        <v>171</v>
      </c>
      <c r="F4" s="49" t="s">
        <v>19</v>
      </c>
    </row>
    <row r="5" spans="1:6" ht="20" customHeight="1">
      <c r="A5" s="52" t="s">
        <v>246</v>
      </c>
      <c r="B5" s="52" t="s">
        <v>247</v>
      </c>
      <c r="C5" s="53">
        <f>C3+C4</f>
        <v>2000000</v>
      </c>
      <c r="D5" s="54"/>
      <c r="E5" s="54"/>
      <c r="F5" s="54"/>
    </row>
  </sheetData>
  <mergeCells count="1">
    <mergeCell ref="A1:F1"/>
  </mergeCells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G12"/>
  <sheetViews>
    <sheetView workbookViewId="0">
      <pane ySplit="2" topLeftCell="A3" activePane="bottomLeft" state="frozen"/>
      <selection pane="bottomLeft"/>
    </sheetView>
  </sheetViews>
  <sheetFormatPr baseColWidth="10" defaultColWidth="9" defaultRowHeight="14"/>
  <cols>
    <col min="1" max="1" width="6" customWidth="1"/>
    <col min="2" max="2" width="40" customWidth="1"/>
    <col min="3" max="3" width="14" customWidth="1"/>
    <col min="4" max="4" width="36" customWidth="1"/>
    <col min="5" max="5" width="20" customWidth="1"/>
    <col min="6" max="6" width="14" customWidth="1"/>
    <col min="7" max="7" width="10" customWidth="1"/>
  </cols>
  <sheetData>
    <row r="1" spans="1:7" ht="22" customHeight="1">
      <c r="A1" s="66" t="s">
        <v>248</v>
      </c>
      <c r="B1" s="61"/>
      <c r="C1" s="61"/>
      <c r="D1" s="61"/>
      <c r="E1" s="61"/>
      <c r="F1" s="61"/>
      <c r="G1" s="61"/>
    </row>
    <row r="2" spans="1:7" ht="22" customHeight="1">
      <c r="A2" s="55" t="s">
        <v>3</v>
      </c>
      <c r="B2" s="55" t="s">
        <v>249</v>
      </c>
      <c r="C2" s="55" t="s">
        <v>250</v>
      </c>
      <c r="D2" s="55" t="s">
        <v>251</v>
      </c>
      <c r="E2" s="55" t="s">
        <v>252</v>
      </c>
      <c r="F2" s="55" t="s">
        <v>9</v>
      </c>
      <c r="G2" s="55" t="s">
        <v>182</v>
      </c>
    </row>
    <row r="3" spans="1:7" ht="34" customHeight="1">
      <c r="A3" s="56">
        <v>1</v>
      </c>
      <c r="B3" s="57" t="s">
        <v>253</v>
      </c>
      <c r="C3" s="57" t="s">
        <v>254</v>
      </c>
      <c r="D3" s="57" t="s">
        <v>255</v>
      </c>
      <c r="E3" s="56" t="s">
        <v>256</v>
      </c>
      <c r="F3" s="56"/>
      <c r="G3" s="56" t="s">
        <v>257</v>
      </c>
    </row>
    <row r="4" spans="1:7" ht="34" customHeight="1">
      <c r="A4" s="58">
        <v>2</v>
      </c>
      <c r="B4" s="59" t="s">
        <v>258</v>
      </c>
      <c r="C4" s="59" t="s">
        <v>259</v>
      </c>
      <c r="D4" s="59" t="s">
        <v>260</v>
      </c>
      <c r="E4" s="58" t="s">
        <v>261</v>
      </c>
      <c r="F4" s="58"/>
      <c r="G4" s="58" t="s">
        <v>257</v>
      </c>
    </row>
    <row r="5" spans="1:7" ht="34" customHeight="1">
      <c r="A5" s="56">
        <v>3</v>
      </c>
      <c r="B5" s="57" t="s">
        <v>262</v>
      </c>
      <c r="C5" s="57" t="s">
        <v>259</v>
      </c>
      <c r="D5" s="57" t="s">
        <v>263</v>
      </c>
      <c r="E5" s="56" t="s">
        <v>264</v>
      </c>
      <c r="F5" s="56"/>
      <c r="G5" s="56" t="s">
        <v>257</v>
      </c>
    </row>
    <row r="6" spans="1:7" ht="34" customHeight="1">
      <c r="A6" s="58">
        <v>4</v>
      </c>
      <c r="B6" s="59" t="s">
        <v>265</v>
      </c>
      <c r="C6" s="59" t="s">
        <v>266</v>
      </c>
      <c r="D6" s="59" t="s">
        <v>267</v>
      </c>
      <c r="E6" s="58" t="s">
        <v>268</v>
      </c>
      <c r="F6" s="58"/>
      <c r="G6" s="58" t="s">
        <v>257</v>
      </c>
    </row>
    <row r="7" spans="1:7" ht="34" customHeight="1">
      <c r="A7" s="56">
        <v>5</v>
      </c>
      <c r="B7" s="57" t="s">
        <v>269</v>
      </c>
      <c r="C7" s="57" t="s">
        <v>266</v>
      </c>
      <c r="D7" s="57" t="s">
        <v>270</v>
      </c>
      <c r="E7" s="56" t="s">
        <v>268</v>
      </c>
      <c r="F7" s="56"/>
      <c r="G7" s="56" t="s">
        <v>257</v>
      </c>
    </row>
    <row r="8" spans="1:7" ht="34" customHeight="1">
      <c r="A8" s="58">
        <v>6</v>
      </c>
      <c r="B8" s="59" t="s">
        <v>271</v>
      </c>
      <c r="C8" s="59" t="s">
        <v>272</v>
      </c>
      <c r="D8" s="59" t="s">
        <v>273</v>
      </c>
      <c r="E8" s="58" t="s">
        <v>268</v>
      </c>
      <c r="F8" s="58"/>
      <c r="G8" s="58" t="s">
        <v>257</v>
      </c>
    </row>
    <row r="9" spans="1:7" ht="34" customHeight="1">
      <c r="A9" s="56">
        <v>7</v>
      </c>
      <c r="B9" s="57" t="s">
        <v>274</v>
      </c>
      <c r="C9" s="57" t="s">
        <v>275</v>
      </c>
      <c r="D9" s="57" t="s">
        <v>276</v>
      </c>
      <c r="E9" s="56" t="s">
        <v>268</v>
      </c>
      <c r="F9" s="56"/>
      <c r="G9" s="56" t="s">
        <v>257</v>
      </c>
    </row>
    <row r="10" spans="1:7" ht="34" customHeight="1">
      <c r="A10" s="58">
        <v>8</v>
      </c>
      <c r="B10" s="59" t="s">
        <v>277</v>
      </c>
      <c r="C10" s="59" t="s">
        <v>278</v>
      </c>
      <c r="D10" s="59" t="s">
        <v>263</v>
      </c>
      <c r="E10" s="58" t="s">
        <v>264</v>
      </c>
      <c r="F10" s="58"/>
      <c r="G10" s="58" t="s">
        <v>257</v>
      </c>
    </row>
    <row r="11" spans="1:7" ht="34" customHeight="1">
      <c r="A11" s="56">
        <v>9</v>
      </c>
      <c r="B11" s="57" t="s">
        <v>279</v>
      </c>
      <c r="C11" s="57" t="s">
        <v>280</v>
      </c>
      <c r="D11" s="57" t="s">
        <v>281</v>
      </c>
      <c r="E11" s="56" t="s">
        <v>261</v>
      </c>
      <c r="F11" s="56"/>
      <c r="G11" s="56" t="s">
        <v>257</v>
      </c>
    </row>
    <row r="12" spans="1:7" ht="34" customHeight="1">
      <c r="A12" s="58">
        <v>10</v>
      </c>
      <c r="B12" s="59" t="s">
        <v>282</v>
      </c>
      <c r="C12" s="59" t="s">
        <v>283</v>
      </c>
      <c r="D12" s="59" t="s">
        <v>284</v>
      </c>
      <c r="E12" s="58" t="s">
        <v>261</v>
      </c>
      <c r="F12" s="58"/>
      <c r="G12" s="58" t="s">
        <v>257</v>
      </c>
    </row>
  </sheetData>
  <mergeCells count="1">
    <mergeCell ref="A1:G1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工作管制總表</vt:lpstr>
      <vt:lpstr>時程甘特概覽</vt:lpstr>
      <vt:lpstr>付款里程碑</vt:lpstr>
      <vt:lpstr>扣款風險清單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公傳3 中慈</cp:lastModifiedBy>
  <dcterms:created xsi:type="dcterms:W3CDTF">2026-05-14T08:05:59Z</dcterms:created>
  <dcterms:modified xsi:type="dcterms:W3CDTF">2026-05-14T08:21:16Z</dcterms:modified>
</cp:coreProperties>
</file>