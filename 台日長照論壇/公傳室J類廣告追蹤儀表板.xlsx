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儀表板" sheetId="1" state="visible" r:id="rId1"/>
    <sheet xmlns:r="http://schemas.openxmlformats.org/officeDocument/2006/relationships" name="J-1報紙廣告" sheetId="2" state="visible" r:id="rId2"/>
    <sheet xmlns:r="http://schemas.openxmlformats.org/officeDocument/2006/relationships" name="J-2活動後新聞稿" sheetId="3" state="visible" r:id="rId3"/>
    <sheet xmlns:r="http://schemas.openxmlformats.org/officeDocument/2006/relationships" name="J-3數位廣編稿" sheetId="4" state="visible" r:id="rId4"/>
    <sheet xmlns:r="http://schemas.openxmlformats.org/officeDocument/2006/relationships" name="J-4電視牆看板" sheetId="5" state="visible" r:id="rId5"/>
    <sheet xmlns:r="http://schemas.openxmlformats.org/officeDocument/2006/relationships" name="J-5網路關鍵字" sheetId="6" state="visible" r:id="rId6"/>
    <sheet xmlns:r="http://schemas.openxmlformats.org/officeDocument/2006/relationships" name="扣款風險清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&quot;NT$&quot;#,##0"/>
  </numFmts>
  <fonts count="11">
    <font>
      <name val="Calibri"/>
      <family val="2"/>
      <color theme="1"/>
      <sz val="11"/>
      <scheme val="minor"/>
    </font>
    <font>
      <name val="標楷體"/>
      <b val="1"/>
      <color rgb="00FFFFFF"/>
      <sz val="18"/>
    </font>
    <font>
      <name val="標楷體"/>
      <sz val="10"/>
    </font>
    <font>
      <name val="標楷體"/>
      <b val="1"/>
      <color rgb="00C00000"/>
      <sz val="11"/>
    </font>
    <font>
      <name val="標楷體"/>
      <b val="1"/>
      <color rgb="00FFFFFF"/>
      <sz val="12"/>
    </font>
    <font>
      <name val="標楷體"/>
      <b val="1"/>
      <sz val="11"/>
    </font>
    <font>
      <name val="標楷體"/>
      <b val="1"/>
      <color rgb="00C00000"/>
      <sz val="14"/>
    </font>
    <font>
      <name val="標楷體"/>
      <color rgb="00666666"/>
      <sz val="9"/>
    </font>
    <font>
      <name val="標楷體"/>
      <b val="1"/>
      <color rgb="00FFFFFF"/>
      <sz val="11"/>
    </font>
    <font>
      <name val="標楷體"/>
      <b val="1"/>
      <color rgb="00C00000"/>
      <sz val="10"/>
    </font>
    <font>
      <name val="標楷體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5" fillId="4" borderId="1" pivotButton="0" quotePrefix="0" xfId="0"/>
    <xf numFmtId="165" fontId="6" fillId="4" borderId="1" pivotButton="0" quotePrefix="0" xfId="0"/>
    <xf numFmtId="0" fontId="7" fillId="4" borderId="1" pivotButton="0" quotePrefix="0" xfId="0"/>
    <xf numFmtId="0" fontId="0" fillId="4" borderId="1" pivotButton="0" quotePrefix="0" xfId="0"/>
    <xf numFmtId="0" fontId="8" fillId="3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9" fillId="0" borderId="0" pivotButton="0" quotePrefix="0" xfId="0"/>
    <xf numFmtId="0" fontId="0" fillId="0" borderId="1" pivotButton="0" quotePrefix="0" xfId="0"/>
    <xf numFmtId="0" fontId="5" fillId="0" borderId="1" pivotButton="0" quotePrefix="0" xfId="0"/>
    <xf numFmtId="3" fontId="5" fillId="4" borderId="1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 ht="34" customHeight="1">
      <c r="A1" s="1" t="inlineStr">
        <is>
          <t>🎯 公傳室 J 類廣告追蹤儀表板  |  2026臺中長照台日論壇（案號115B17）</t>
        </is>
      </c>
    </row>
    <row r="2">
      <c r="A2" s="2" t="inlineStr">
        <is>
          <t>論壇日：2026/7/3（五）　|　今日請填：</t>
        </is>
      </c>
      <c r="B2" s="3">
        <f>TODAY()</f>
        <v/>
      </c>
      <c r="C2" s="2" t="inlineStr">
        <is>
          <t xml:space="preserve">　|　距論壇剩餘天數：</t>
        </is>
      </c>
      <c r="D2" s="4">
        <f>DATE(2026,7,3)-TODAY()</f>
        <v/>
      </c>
    </row>
    <row r="4" ht="32" customHeight="1">
      <c r="A4" s="5" t="inlineStr">
        <is>
          <t>項目</t>
        </is>
      </c>
      <c r="B4" s="5" t="inlineStr">
        <is>
          <t>標規要求</t>
        </is>
      </c>
      <c r="C4" s="5" t="inlineStr">
        <is>
          <t>實際</t>
        </is>
      </c>
      <c r="D4" s="5" t="inlineStr">
        <is>
          <t>差距</t>
        </is>
      </c>
      <c r="E4" s="5" t="inlineStr">
        <is>
          <t>風險/扣款試算</t>
        </is>
      </c>
      <c r="F4" s="5" t="inlineStr">
        <is>
          <t>狀態</t>
        </is>
      </c>
    </row>
    <row r="5" ht="28" customHeight="1">
      <c r="A5" s="6" t="inlineStr">
        <is>
          <t>J-1 報紙廣告刊登則數</t>
        </is>
      </c>
      <c r="B5" s="7" t="inlineStr">
        <is>
          <t>≥2則</t>
        </is>
      </c>
      <c r="C5" s="8">
        <f>COUNTIF('J-1報紙廣告'!G5:G14,"已刊登")</f>
        <v/>
      </c>
      <c r="D5" s="7">
        <f>MAX(0,2-C5)</f>
        <v/>
      </c>
      <c r="E5" s="7">
        <f>D5*20000</f>
        <v/>
      </c>
      <c r="F5" s="7">
        <f>IF(C5&gt;=2,"✓達標","⚠未達 扣"&amp;TEXT(D5*20000,"#,##0")&amp;"元")</f>
        <v/>
      </c>
    </row>
    <row r="6" ht="28" customHeight="1">
      <c r="A6" s="6" t="inlineStr">
        <is>
          <t>J-3 數位廣編稿則數</t>
        </is>
      </c>
      <c r="B6" s="7" t="inlineStr">
        <is>
          <t>≥10則</t>
        </is>
      </c>
      <c r="C6" s="8">
        <f>COUNTIF('J-3數位廣編稿'!J5:J14,"已發布")</f>
        <v/>
      </c>
      <c r="D6" s="7">
        <f>MAX(0,10-C6)</f>
        <v/>
      </c>
      <c r="E6" s="7">
        <f>D6*10000</f>
        <v/>
      </c>
      <c r="F6" s="7">
        <f>IF(C6&gt;=10,"✓達標","⚠未達 扣"&amp;TEXT(D6*10000,"#,##0")&amp;"元")</f>
        <v/>
      </c>
    </row>
    <row r="7" ht="28" customHeight="1">
      <c r="A7" s="6" t="inlineStr">
        <is>
          <t>J-3 廣編稿總曝光人次</t>
        </is>
      </c>
      <c r="B7" s="7" t="inlineStr">
        <is>
          <t>≥2,000,000</t>
        </is>
      </c>
      <c r="C7" s="8">
        <f>SUM('J-3數位廣編稿'!H5:H14)</f>
        <v/>
      </c>
      <c r="D7" s="7">
        <f>MAX(0,2000000-C7)</f>
        <v/>
      </c>
      <c r="E7" s="7" t="inlineStr">
        <is>
          <t>"以契約價金20%為限"</t>
        </is>
      </c>
      <c r="F7" s="7">
        <f>IF(C7&gt;=2000000,"✓達標","⚠未達200萬")</f>
        <v/>
      </c>
    </row>
    <row r="8" ht="28" customHeight="1">
      <c r="A8" s="6" t="inlineStr">
        <is>
          <t>J-3 長照3.0+失智專題</t>
        </is>
      </c>
      <c r="B8" s="7" t="inlineStr">
        <is>
          <t>≥2篇</t>
        </is>
      </c>
      <c r="C8" s="8">
        <f>COUNTIFS('J-3數位廣編稿'!B5:B14,"⭐政策+失智專題",'J-3數位廣編稿'!J5:J14,"已發布")</f>
        <v/>
      </c>
      <c r="D8" s="7">
        <f>MAX(0,2-C8)</f>
        <v/>
      </c>
      <c r="E8" s="7" t="inlineStr">
        <is>
          <t>"併入J-3則數扣款"</t>
        </is>
      </c>
      <c r="F8" s="7">
        <f>IF(C8&gt;=2,"✓達標","⚠未達")</f>
        <v/>
      </c>
    </row>
    <row r="9" ht="28" customHeight="1">
      <c r="A9" s="6" t="inlineStr">
        <is>
          <t>J-4 電視牆/看板檔次</t>
        </is>
      </c>
      <c r="B9" s="7" t="inlineStr">
        <is>
          <t>≥4,000檔次</t>
        </is>
      </c>
      <c r="C9" s="8">
        <f>SUM('J-4電視牆看板'!E5:E14)</f>
        <v/>
      </c>
      <c r="D9" s="7">
        <f>MAX(0,4000-C9)</f>
        <v/>
      </c>
      <c r="E9" s="7">
        <f>D9*1000</f>
        <v/>
      </c>
      <c r="F9" s="7">
        <f>IF(C9&gt;=4000,"✓達標","⚠每檔次扣1,000")</f>
        <v/>
      </c>
    </row>
    <row r="10" ht="28" customHeight="1">
      <c r="A10" s="6" t="inlineStr">
        <is>
          <t>J-4 場域數</t>
        </is>
      </c>
      <c r="B10" s="7" t="inlineStr">
        <is>
          <t>≥2處</t>
        </is>
      </c>
      <c r="C10" s="8">
        <f>COUNTA('J-4電視牆看板'!B5:B14)</f>
        <v/>
      </c>
      <c r="D10" s="7">
        <f>MAX(0,2-C10)</f>
        <v/>
      </c>
      <c r="E10" s="7" t="inlineStr">
        <is>
          <t>"併入檔次扣款"</t>
        </is>
      </c>
      <c r="F10" s="7">
        <f>IF(C10&gt;=2,"✓達標","⚠未達")</f>
        <v/>
      </c>
    </row>
    <row r="11" ht="28" customHeight="1">
      <c r="A11" s="6" t="inlineStr">
        <is>
          <t>J-5 網路關鍵字廣告</t>
        </is>
      </c>
      <c r="B11" s="7" t="inlineStr">
        <is>
          <t>≥20則</t>
        </is>
      </c>
      <c r="C11" s="8">
        <f>COUNTIF('J-5網路關鍵字'!H5:H34,"已上架")</f>
        <v/>
      </c>
      <c r="D11" s="7">
        <f>MAX(0,20-C11)</f>
        <v/>
      </c>
      <c r="E11" s="7">
        <f>D11*1000</f>
        <v/>
      </c>
      <c r="F11" s="7">
        <f>IF(C11&gt;=20,"✓達標","⚠每則扣1,000")</f>
        <v/>
      </c>
    </row>
    <row r="12" ht="28" customHeight="1">
      <c r="A12" s="6" t="inlineStr">
        <is>
          <t>J-2 論壇後報紙新聞稿</t>
        </is>
      </c>
      <c r="B12" s="7" t="inlineStr">
        <is>
          <t>≥1則</t>
        </is>
      </c>
      <c r="C12" s="8">
        <f>COUNTIF('J-2活動後新聞稿'!E5:E9,"已刊登")</f>
        <v/>
      </c>
      <c r="D12" s="7">
        <f>MAX(0,1-C12)</f>
        <v/>
      </c>
      <c r="E12" s="7">
        <f>D12*10000</f>
        <v/>
      </c>
      <c r="F12" s="7">
        <f>IF(C12&gt;=1,"✓達標","⚠未達 扣10,000")</f>
        <v/>
      </c>
    </row>
    <row r="14" ht="30" customHeight="1">
      <c r="A14" s="9" t="inlineStr">
        <is>
          <t>💰 累計扣款風險（試算）</t>
        </is>
      </c>
      <c r="B14" s="10">
        <f>D5*20000+D6*10000+D9*1000+D11*1000+D12*10000</f>
        <v/>
      </c>
      <c r="C14" s="11" t="inlineStr">
        <is>
          <t>元（不含200萬人次未達之20%契約價金扣減）</t>
        </is>
      </c>
      <c r="D14" s="12" t="n"/>
      <c r="E14" s="12" t="n"/>
      <c r="F14" s="12" t="n"/>
    </row>
    <row r="16">
      <c r="A16" s="13" t="inlineStr">
        <is>
          <t>⏰ 關鍵截止日</t>
        </is>
      </c>
    </row>
    <row r="17">
      <c r="A17" s="14" t="inlineStr">
        <is>
          <t>2026/6/3</t>
        </is>
      </c>
      <c r="B17" s="15" t="inlineStr">
        <is>
          <t>⚠ 最早截止</t>
        </is>
      </c>
      <c r="C17" s="16" t="inlineStr">
        <is>
          <t>J-5 網路關鍵字廣告 ≥20則（論壇前30天）</t>
        </is>
      </c>
      <c r="D17" s="17" t="n"/>
      <c r="E17" s="17" t="n"/>
      <c r="F17" s="17" t="n"/>
    </row>
    <row r="18">
      <c r="A18" s="14" t="inlineStr">
        <is>
          <t>2026/6/15</t>
        </is>
      </c>
      <c r="B18" s="15" t="inlineStr"/>
      <c r="C18" s="16" t="inlineStr">
        <is>
          <t>B-1 主視覺／B-2 海報／H-1~H-4 文宣設計</t>
        </is>
      </c>
      <c r="D18" s="17" t="n"/>
      <c r="E18" s="17" t="n"/>
      <c r="F18" s="17" t="n"/>
    </row>
    <row r="19">
      <c r="A19" s="14" t="inlineStr">
        <is>
          <t>2026/6/19</t>
        </is>
      </c>
      <c r="B19" s="15" t="inlineStr">
        <is>
          <t>⚠ 多項並列</t>
        </is>
      </c>
      <c r="C19" s="16" t="inlineStr">
        <is>
          <t>J-1 報紙廣告 ≥2則／J-3 廣編稿 ≥10則／J-4 電視牆 ≥4,000檔</t>
        </is>
      </c>
      <c r="D19" s="17" t="n"/>
      <c r="E19" s="17" t="n"/>
      <c r="F19" s="17" t="n"/>
    </row>
    <row r="20">
      <c r="A20" s="14" t="inlineStr">
        <is>
          <t>2026/7/2</t>
        </is>
      </c>
      <c r="B20" s="15" t="inlineStr"/>
      <c r="C20" s="16" t="inlineStr">
        <is>
          <t>H-3 識別證/資料袋實體送達會場</t>
        </is>
      </c>
      <c r="D20" s="17" t="n"/>
      <c r="E20" s="17" t="n"/>
      <c r="F20" s="17" t="n"/>
    </row>
    <row r="21">
      <c r="A21" s="14" t="inlineStr">
        <is>
          <t>2026/7/3</t>
        </is>
      </c>
      <c r="B21" s="15" t="inlineStr">
        <is>
          <t>🎯 論壇日</t>
        </is>
      </c>
      <c r="C21" s="16" t="inlineStr">
        <is>
          <t>L-1 照片+新聞稿／L-2 成果影片現場剪輯</t>
        </is>
      </c>
      <c r="D21" s="17" t="n"/>
      <c r="E21" s="17" t="n"/>
      <c r="F21" s="17" t="n"/>
    </row>
    <row r="22">
      <c r="A22" s="14" t="inlineStr">
        <is>
          <t>2026/7/3後</t>
        </is>
      </c>
      <c r="B22" s="15" t="inlineStr"/>
      <c r="C22" s="16" t="inlineStr">
        <is>
          <t>J-2 論壇後報紙新聞稿 ≥1篇</t>
        </is>
      </c>
      <c r="D22" s="17" t="n"/>
      <c r="E22" s="17" t="n"/>
      <c r="F22" s="17" t="n"/>
    </row>
    <row r="23">
      <c r="A23" s="14" t="inlineStr">
        <is>
          <t>2026/7/19</t>
        </is>
      </c>
      <c r="B23" s="15" t="inlineStr"/>
      <c r="C23" s="16" t="inlineStr">
        <is>
          <t>M-1 長照系列影片 ≥10分鐘</t>
        </is>
      </c>
      <c r="D23" s="17" t="n"/>
      <c r="E23" s="17" t="n"/>
      <c r="F23" s="17" t="n"/>
    </row>
  </sheetData>
  <mergeCells count="10">
    <mergeCell ref="C22:F22"/>
    <mergeCell ref="A16:F16"/>
    <mergeCell ref="C18:F18"/>
    <mergeCell ref="C17:F17"/>
    <mergeCell ref="C23:F23"/>
    <mergeCell ref="A1:F1"/>
    <mergeCell ref="C20:F20"/>
    <mergeCell ref="C21:F21"/>
    <mergeCell ref="C19:F19"/>
    <mergeCell ref="C14:F14"/>
  </mergeCells>
  <conditionalFormatting sqref="F5:F12">
    <cfRule type="expression" priority="1" dxfId="0">
      <formula>ISNUMBER(SEARCH("✓",F5))</formula>
    </cfRule>
    <cfRule type="expression" priority="2" dxfId="1">
      <formula>ISNUMBER(SEARCH("⚠",F5))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6" customWidth="1" min="4" max="4"/>
    <col width="12" customWidth="1" min="5" max="5"/>
    <col width="14" customWidth="1" min="6" max="6"/>
    <col width="12" customWidth="1" min="7" max="7"/>
    <col width="22" customWidth="1" min="8" max="8"/>
    <col width="22" customWidth="1" min="9" max="9"/>
  </cols>
  <sheetData>
    <row r="1" ht="30" customHeight="1">
      <c r="A1" s="1" t="inlineStr">
        <is>
          <t>J-1 報紙廣告追蹤表  |  目標：≥2則 / 三大報 / 截止 2026/6/19  |  扣款：每不足1則扣NT$20,000</t>
        </is>
      </c>
    </row>
    <row r="2">
      <c r="A2" s="18" t="inlineStr">
        <is>
          <t>大報範圍：中國時報、聯合報、自由時報；建議刊在「健康/醫療版」或「中部版」</t>
        </is>
      </c>
    </row>
    <row r="4" ht="32" customHeight="1">
      <c r="A4" s="5" t="inlineStr">
        <is>
          <t>序號</t>
        </is>
      </c>
      <c r="B4" s="5" t="inlineStr">
        <is>
          <t>報別</t>
        </is>
      </c>
      <c r="C4" s="5" t="inlineStr">
        <is>
          <t>版面</t>
        </is>
      </c>
      <c r="D4" s="5" t="inlineStr">
        <is>
          <t>刊登標題</t>
        </is>
      </c>
      <c r="E4" s="5" t="inlineStr">
        <is>
          <t>刊期(日)</t>
        </is>
      </c>
      <c r="F4" s="5" t="inlineStr">
        <is>
          <t>聯絡窗口</t>
        </is>
      </c>
      <c r="G4" s="5" t="inlineStr">
        <is>
          <t>狀態</t>
        </is>
      </c>
      <c r="H4" s="5" t="inlineStr">
        <is>
          <t>刊登截圖檔名</t>
        </is>
      </c>
      <c r="I4" s="5" t="inlineStr">
        <is>
          <t>備註</t>
        </is>
      </c>
    </row>
    <row r="5" ht="28" customHeight="1">
      <c r="A5" s="7" t="n">
        <v>1</v>
      </c>
      <c r="B5" s="7" t="inlineStr">
        <is>
          <t>聯合報</t>
        </is>
      </c>
      <c r="C5" s="7" t="inlineStr">
        <is>
          <t>中部新聞版</t>
        </is>
      </c>
      <c r="D5" s="16" t="inlineStr">
        <is>
          <t>（待擬）長照3.0台中啟動 失智照護升級</t>
        </is>
      </c>
      <c r="E5" s="7" t="inlineStr"/>
      <c r="F5" s="16" t="inlineStr"/>
      <c r="G5" s="7" t="inlineStr">
        <is>
          <t>待安排</t>
        </is>
      </c>
      <c r="H5" s="16" t="inlineStr"/>
      <c r="I5" s="16" t="inlineStr">
        <is>
          <t>含H-1主視覺</t>
        </is>
      </c>
    </row>
    <row r="6" ht="28" customHeight="1">
      <c r="A6" s="7" t="n">
        <v>2</v>
      </c>
      <c r="B6" s="7" t="inlineStr">
        <is>
          <t>自由時報</t>
        </is>
      </c>
      <c r="C6" s="7" t="inlineStr">
        <is>
          <t>健康醫療版</t>
        </is>
      </c>
      <c r="D6" s="16" t="inlineStr">
        <is>
          <t>（待擬）2026臺中長照台日論壇預告</t>
        </is>
      </c>
      <c r="E6" s="7" t="inlineStr"/>
      <c r="F6" s="16" t="inlineStr"/>
      <c r="G6" s="7" t="inlineStr">
        <is>
          <t>待安排</t>
        </is>
      </c>
      <c r="H6" s="16" t="inlineStr"/>
      <c r="I6" s="16" t="inlineStr">
        <is>
          <t>論壇前1週內</t>
        </is>
      </c>
    </row>
    <row r="7" ht="26" customHeight="1">
      <c r="A7" s="7" t="n">
        <v>3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 ht="26" customHeight="1">
      <c r="A8" s="7" t="n">
        <v>4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26" customHeight="1">
      <c r="A9" s="7" t="n">
        <v>5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26" customHeight="1">
      <c r="A10" s="7" t="n">
        <v>6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26" customHeight="1">
      <c r="A11" s="7" t="n">
        <v>7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 ht="26" customHeight="1">
      <c r="A12" s="7" t="n">
        <v>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 ht="26" customHeight="1">
      <c r="A13" s="7" t="n">
        <v>9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 ht="26" customHeight="1">
      <c r="A14" s="7" t="n">
        <v>10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2" customWidth="1" min="4" max="4"/>
    <col width="12" customWidth="1" min="5" max="5"/>
    <col width="30" customWidth="1" min="6" max="6"/>
  </cols>
  <sheetData>
    <row r="1" ht="30" customHeight="1">
      <c r="A1" s="1" t="inlineStr">
        <is>
          <t>J-2 論壇後報紙新聞稿  |  目標：≥1篇 / 論壇後儘速 / 扣款：未達扣NT$10,000</t>
        </is>
      </c>
    </row>
    <row r="4" ht="32" customHeight="1">
      <c r="A4" s="5" t="inlineStr">
        <is>
          <t>序號</t>
        </is>
      </c>
      <c r="B4" s="5" t="inlineStr">
        <is>
          <t>報別</t>
        </is>
      </c>
      <c r="C4" s="5" t="inlineStr">
        <is>
          <t>刊登標題</t>
        </is>
      </c>
      <c r="D4" s="5" t="inlineStr">
        <is>
          <t>刊期</t>
        </is>
      </c>
      <c r="E4" s="5" t="inlineStr">
        <is>
          <t>狀態</t>
        </is>
      </c>
      <c r="F4" s="5" t="inlineStr">
        <is>
          <t>備註</t>
        </is>
      </c>
    </row>
    <row r="5" ht="28" customHeight="1">
      <c r="A5" s="7" t="n">
        <v>1</v>
      </c>
      <c r="B5" s="7" t="inlineStr"/>
      <c r="C5" s="7" t="inlineStr"/>
      <c r="D5" s="7" t="inlineStr"/>
      <c r="E5" s="7" t="inlineStr"/>
      <c r="F5" s="7" t="inlineStr"/>
    </row>
    <row r="6" ht="28" customHeight="1">
      <c r="A6" s="7" t="n">
        <v>2</v>
      </c>
      <c r="B6" s="7" t="inlineStr"/>
      <c r="C6" s="7" t="inlineStr"/>
      <c r="D6" s="7" t="inlineStr"/>
      <c r="E6" s="7" t="inlineStr"/>
      <c r="F6" s="7" t="inlineStr"/>
    </row>
    <row r="7" ht="28" customHeight="1">
      <c r="A7" s="7" t="n">
        <v>3</v>
      </c>
      <c r="B7" s="7" t="inlineStr"/>
      <c r="C7" s="7" t="inlineStr"/>
      <c r="D7" s="7" t="inlineStr"/>
      <c r="E7" s="7" t="inlineStr"/>
      <c r="F7" s="7" t="inlineStr"/>
    </row>
    <row r="8" ht="28" customHeight="1">
      <c r="A8" s="7" t="n">
        <v>4</v>
      </c>
      <c r="B8" s="7" t="inlineStr"/>
      <c r="C8" s="7" t="inlineStr"/>
      <c r="D8" s="7" t="inlineStr"/>
      <c r="E8" s="7" t="inlineStr"/>
      <c r="F8" s="7" t="inlineStr"/>
    </row>
    <row r="9" ht="28" customHeight="1">
      <c r="A9" s="7" t="n">
        <v>5</v>
      </c>
      <c r="B9" s="7" t="inlineStr"/>
      <c r="C9" s="7" t="inlineStr"/>
      <c r="D9" s="7" t="inlineStr"/>
      <c r="E9" s="7" t="inlineStr"/>
      <c r="F9" s="7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28" customWidth="1" min="4" max="4"/>
    <col width="12" customWidth="1" min="5" max="5"/>
    <col width="12" customWidth="1" min="6" max="6"/>
    <col width="28" customWidth="1" min="7" max="7"/>
    <col width="14" customWidth="1" min="8" max="8"/>
    <col width="12" customWidth="1" min="9" max="9"/>
    <col width="10" customWidth="1" min="10" max="10"/>
    <col width="22" customWidth="1" min="11" max="11"/>
  </cols>
  <sheetData>
    <row r="1" ht="30" customHeight="1">
      <c r="A1" s="1" t="inlineStr">
        <is>
          <t>J-3 數位廣編稿追蹤表  |  目標：≥10則 / ≥2篇政策+失智專題 / ≥200萬人次 / 截止 2026/6/19</t>
        </is>
      </c>
    </row>
    <row r="2">
      <c r="A2" s="19" t="inlineStr">
        <is>
          <t>扣款：每不足1則扣NT$10,000；未達200萬人次以契約價金20%為限</t>
        </is>
      </c>
    </row>
    <row r="4" ht="32" customHeight="1">
      <c r="A4" s="5" t="inlineStr">
        <is>
          <t>序號</t>
        </is>
      </c>
      <c r="B4" s="5" t="inlineStr">
        <is>
          <t>類別標記</t>
        </is>
      </c>
      <c r="C4" s="5" t="inlineStr">
        <is>
          <t>廣編稿標題</t>
        </is>
      </c>
      <c r="D4" s="5" t="inlineStr">
        <is>
          <t>建議媒體/平台</t>
        </is>
      </c>
      <c r="E4" s="5" t="inlineStr">
        <is>
          <t>負責窗口</t>
        </is>
      </c>
      <c r="F4" s="5" t="inlineStr">
        <is>
          <t>發布日期</t>
        </is>
      </c>
      <c r="G4" s="5" t="inlineStr">
        <is>
          <t>URL連結</t>
        </is>
      </c>
      <c r="H4" s="5" t="inlineStr">
        <is>
          <t>觸及/曝光數</t>
        </is>
      </c>
      <c r="I4" s="5" t="inlineStr">
        <is>
          <t>截圖留存</t>
        </is>
      </c>
      <c r="J4" s="5" t="inlineStr">
        <is>
          <t>狀態</t>
        </is>
      </c>
      <c r="K4" s="5" t="inlineStr">
        <is>
          <t>備註</t>
        </is>
      </c>
    </row>
    <row r="5" ht="36" customHeight="1">
      <c r="A5" s="7" t="n">
        <v>1</v>
      </c>
      <c r="B5" s="7" t="inlineStr">
        <is>
          <t>⭐政策+失智專題</t>
        </is>
      </c>
      <c r="C5" s="16" t="inlineStr">
        <is>
          <t>長照3.0上路！台中接軌中央八大目標 失智照護全面升級</t>
        </is>
      </c>
      <c r="D5" s="16" t="inlineStr">
        <is>
          <t>聯合新聞網元氣網／1966長照粉專</t>
        </is>
      </c>
      <c r="E5" s="16" t="inlineStr"/>
      <c r="F5" s="7" t="inlineStr"/>
      <c r="G5" s="16" t="inlineStr"/>
      <c r="H5" s="8" t="inlineStr"/>
      <c r="I5" s="16" t="inlineStr"/>
      <c r="J5" s="7" t="inlineStr">
        <is>
          <t>待發布</t>
        </is>
      </c>
      <c r="K5" s="16" t="inlineStr"/>
    </row>
    <row r="6" ht="36" customHeight="1">
      <c r="A6" s="7" t="n">
        <v>2</v>
      </c>
      <c r="B6" s="7" t="inlineStr">
        <is>
          <t>⭐政策+失智專題</t>
        </is>
      </c>
      <c r="C6" s="16" t="inlineStr">
        <is>
          <t>長照3.0新制 失智症族群全納入！台中失智共照網守護2.5萬名家屬</t>
        </is>
      </c>
      <c r="D6" s="16" t="inlineStr">
        <is>
          <t>台灣失智症協會粉專／健康2.0</t>
        </is>
      </c>
      <c r="E6" s="16" t="inlineStr"/>
      <c r="F6" s="7" t="inlineStr"/>
      <c r="G6" s="16" t="inlineStr"/>
      <c r="H6" s="8" t="inlineStr"/>
      <c r="I6" s="16" t="inlineStr"/>
      <c r="J6" s="7" t="inlineStr">
        <is>
          <t>待發布</t>
        </is>
      </c>
      <c r="K6" s="16" t="inlineStr"/>
    </row>
    <row r="7" ht="36" customHeight="1">
      <c r="A7" s="7" t="n">
        <v>3</v>
      </c>
      <c r="B7" s="7" t="inlineStr">
        <is>
          <t>在地安老</t>
        </is>
      </c>
      <c r="C7" s="16" t="inlineStr">
        <is>
          <t>全國最大長照網！台中ABC據點1,879處 三里一站照顧好厝邊</t>
        </is>
      </c>
      <c r="D7" s="16" t="inlineStr">
        <is>
          <t>愛長照／家天使</t>
        </is>
      </c>
      <c r="E7" s="16" t="inlineStr"/>
      <c r="F7" s="7" t="inlineStr"/>
      <c r="G7" s="16" t="inlineStr"/>
      <c r="H7" s="8" t="inlineStr"/>
      <c r="I7" s="16" t="inlineStr"/>
      <c r="J7" s="7" t="inlineStr">
        <is>
          <t>待發布</t>
        </is>
      </c>
      <c r="K7" s="16" t="inlineStr"/>
    </row>
    <row r="8" ht="36" customHeight="1">
      <c r="A8" s="7" t="n">
        <v>4</v>
      </c>
      <c r="B8" s="7" t="inlineStr">
        <is>
          <t>醫照整合</t>
        </is>
      </c>
      <c r="C8" s="16" t="inlineStr">
        <is>
          <t>穩坐六都第一 台中「在宅醫療＋共融照護」打造全民照護網</t>
        </is>
      </c>
      <c r="D8" s="16" t="inlineStr">
        <is>
          <t>工商時報網／優照護</t>
        </is>
      </c>
      <c r="E8" s="16" t="inlineStr"/>
      <c r="F8" s="7" t="inlineStr"/>
      <c r="G8" s="16" t="inlineStr"/>
      <c r="H8" s="8" t="inlineStr"/>
      <c r="I8" s="16" t="inlineStr"/>
      <c r="J8" s="7" t="inlineStr">
        <is>
          <t>待發布</t>
        </is>
      </c>
      <c r="K8" s="16" t="inlineStr"/>
    </row>
    <row r="9" ht="36" customHeight="1">
      <c r="A9" s="7" t="n">
        <v>5</v>
      </c>
      <c r="B9" s="7" t="inlineStr">
        <is>
          <t>智慧長照</t>
        </is>
      </c>
      <c r="C9" s="16" t="inlineStr">
        <is>
          <t>長照即時通App上線 大數據預測需求 台中邁向智慧長照</t>
        </is>
      </c>
      <c r="D9" s="16" t="inlineStr">
        <is>
          <t>數位時代／智慧樂齡網</t>
        </is>
      </c>
      <c r="E9" s="16" t="inlineStr"/>
      <c r="F9" s="7" t="inlineStr"/>
      <c r="G9" s="16" t="inlineStr"/>
      <c r="H9" s="8" t="inlineStr"/>
      <c r="I9" s="16" t="inlineStr"/>
      <c r="J9" s="7" t="inlineStr">
        <is>
          <t>待發布</t>
        </is>
      </c>
      <c r="K9" s="16" t="inlineStr"/>
    </row>
    <row r="10" ht="36" customHeight="1">
      <c r="A10" s="7" t="n">
        <v>6</v>
      </c>
      <c r="B10" s="7" t="inlineStr">
        <is>
          <t>機構量能</t>
        </is>
      </c>
      <c r="C10" s="16" t="inlineStr">
        <is>
          <t>台中首家市立綜合長照機構落成 慈濟攜手打造智慧整合照護</t>
        </is>
      </c>
      <c r="D10" s="16" t="inlineStr">
        <is>
          <t>聯合報／大愛新聞</t>
        </is>
      </c>
      <c r="E10" s="16" t="inlineStr"/>
      <c r="F10" s="7" t="inlineStr"/>
      <c r="G10" s="16" t="inlineStr"/>
      <c r="H10" s="8" t="inlineStr"/>
      <c r="I10" s="16" t="inlineStr"/>
      <c r="J10" s="7" t="inlineStr">
        <is>
          <t>待發布</t>
        </is>
      </c>
      <c r="K10" s="16" t="inlineStr"/>
    </row>
    <row r="11" ht="36" customHeight="1">
      <c r="A11" s="7" t="n">
        <v>7</v>
      </c>
      <c r="B11" s="7" t="inlineStr">
        <is>
          <t>失智友善</t>
        </is>
      </c>
      <c r="C11" s="16" t="inlineStr">
        <is>
          <t>失智友善社區動起來！台中商家化身「友善天使」 走失不漏接</t>
        </is>
      </c>
      <c r="D11" s="16" t="inlineStr">
        <is>
          <t>台中市衛生局粉專／失智症協會</t>
        </is>
      </c>
      <c r="E11" s="16" t="inlineStr"/>
      <c r="F11" s="7" t="inlineStr"/>
      <c r="G11" s="16" t="inlineStr"/>
      <c r="H11" s="8" t="inlineStr"/>
      <c r="I11" s="16" t="inlineStr"/>
      <c r="J11" s="7" t="inlineStr">
        <is>
          <t>待發布</t>
        </is>
      </c>
      <c r="K11" s="16" t="inlineStr"/>
    </row>
    <row r="12" ht="36" customHeight="1">
      <c r="A12" s="7" t="n">
        <v>8</v>
      </c>
      <c r="B12" s="7" t="inlineStr">
        <is>
          <t>偏鄉長照</t>
        </is>
      </c>
      <c r="C12" s="16" t="inlineStr">
        <is>
          <t>偏鄉不孤單 台中山海線遠距醫療＋IDS計畫 補齊長照最後一哩</t>
        </is>
      </c>
      <c r="D12" s="16" t="inlineStr">
        <is>
          <t>中山醫附設粉專／自由時報中部</t>
        </is>
      </c>
      <c r="E12" s="16" t="inlineStr"/>
      <c r="F12" s="7" t="inlineStr"/>
      <c r="G12" s="16" t="inlineStr"/>
      <c r="H12" s="8" t="inlineStr"/>
      <c r="I12" s="16" t="inlineStr"/>
      <c r="J12" s="7" t="inlineStr">
        <is>
          <t>待發布</t>
        </is>
      </c>
      <c r="K12" s="16" t="inlineStr"/>
    </row>
    <row r="13" ht="36" customHeight="1">
      <c r="A13" s="7" t="n">
        <v>9</v>
      </c>
      <c r="B13" s="7" t="inlineStr">
        <is>
          <t>健康老化</t>
        </is>
      </c>
      <c r="C13" s="16" t="inlineStr">
        <is>
          <t>延緩失能從預防開始 台中社區據點打造高齡健康生活圈</t>
        </is>
      </c>
      <c r="D13" s="16" t="inlineStr">
        <is>
          <t>樂齡網／50+好好</t>
        </is>
      </c>
      <c r="E13" s="16" t="inlineStr"/>
      <c r="F13" s="7" t="inlineStr"/>
      <c r="G13" s="16" t="inlineStr"/>
      <c r="H13" s="8" t="inlineStr"/>
      <c r="I13" s="16" t="inlineStr"/>
      <c r="J13" s="7" t="inlineStr">
        <is>
          <t>待發布</t>
        </is>
      </c>
      <c r="K13" s="16" t="inlineStr"/>
    </row>
    <row r="14" ht="36" customHeight="1">
      <c r="A14" s="7" t="n">
        <v>10</v>
      </c>
      <c r="B14" s="7" t="inlineStr">
        <is>
          <t>國際交流</t>
        </is>
      </c>
      <c r="C14" s="16" t="inlineStr">
        <is>
          <t>台日交流 共學失智照護！2026臺中長照台日論壇7/3登場</t>
        </is>
      </c>
      <c r="D14" s="16" t="inlineStr">
        <is>
          <t>台中市政府粉專／中時新聞網</t>
        </is>
      </c>
      <c r="E14" s="16" t="inlineStr"/>
      <c r="F14" s="7" t="inlineStr"/>
      <c r="G14" s="16" t="inlineStr"/>
      <c r="H14" s="8" t="inlineStr"/>
      <c r="I14" s="16" t="inlineStr"/>
      <c r="J14" s="7" t="inlineStr">
        <is>
          <t>待發布</t>
        </is>
      </c>
      <c r="K14" s="1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18" customWidth="1" min="4" max="4"/>
    <col width="12" customWidth="1" min="5" max="5"/>
    <col width="22" customWidth="1" min="6" max="6"/>
    <col width="26" customWidth="1" min="7" max="7"/>
  </cols>
  <sheetData>
    <row r="1" ht="30" customHeight="1">
      <c r="A1" s="1" t="inlineStr">
        <is>
          <t>J-4 電視牆/電子看板追蹤表  |  目標：≥2場域 / 合計≥4,000檔次 / 截止 2026/6/19  |  扣款：每不足1檔扣NT$1,000</t>
        </is>
      </c>
    </row>
    <row r="4" ht="32" customHeight="1">
      <c r="A4" s="5" t="inlineStr">
        <is>
          <t>序號</t>
        </is>
      </c>
      <c r="B4" s="5" t="inlineStr">
        <is>
          <t>場域名稱</t>
        </is>
      </c>
      <c r="C4" s="5" t="inlineStr">
        <is>
          <t>地點/地址</t>
        </is>
      </c>
      <c r="D4" s="5" t="inlineStr">
        <is>
          <t>刊播期間</t>
        </is>
      </c>
      <c r="E4" s="5" t="inlineStr">
        <is>
          <t>檔次</t>
        </is>
      </c>
      <c r="F4" s="5" t="inlineStr">
        <is>
          <t>驗收憑證</t>
        </is>
      </c>
      <c r="G4" s="5" t="inlineStr">
        <is>
          <t>備註</t>
        </is>
      </c>
    </row>
    <row r="5" ht="28" customHeight="1">
      <c r="A5" s="7" t="n">
        <v>1</v>
      </c>
      <c r="B5" s="7" t="inlineStr"/>
      <c r="C5" s="7" t="inlineStr"/>
      <c r="D5" s="7" t="inlineStr"/>
      <c r="E5" s="8" t="inlineStr"/>
      <c r="F5" s="7" t="inlineStr"/>
      <c r="G5" s="7" t="inlineStr"/>
    </row>
    <row r="6" ht="28" customHeight="1">
      <c r="A6" s="7" t="n">
        <v>2</v>
      </c>
      <c r="B6" s="7" t="inlineStr"/>
      <c r="C6" s="7" t="inlineStr"/>
      <c r="D6" s="7" t="inlineStr"/>
      <c r="E6" s="8" t="inlineStr"/>
      <c r="F6" s="7" t="inlineStr"/>
      <c r="G6" s="7" t="inlineStr"/>
    </row>
    <row r="7" ht="28" customHeight="1">
      <c r="A7" s="7" t="n">
        <v>3</v>
      </c>
      <c r="B7" s="7" t="inlineStr"/>
      <c r="C7" s="7" t="inlineStr"/>
      <c r="D7" s="7" t="inlineStr"/>
      <c r="E7" s="8" t="inlineStr"/>
      <c r="F7" s="7" t="inlineStr"/>
      <c r="G7" s="7" t="inlineStr"/>
    </row>
    <row r="8" ht="28" customHeight="1">
      <c r="A8" s="7" t="n">
        <v>4</v>
      </c>
      <c r="B8" s="7" t="inlineStr"/>
      <c r="C8" s="7" t="inlineStr"/>
      <c r="D8" s="7" t="inlineStr"/>
      <c r="E8" s="8" t="inlineStr"/>
      <c r="F8" s="7" t="inlineStr"/>
      <c r="G8" s="7" t="inlineStr"/>
    </row>
    <row r="9" ht="28" customHeight="1">
      <c r="A9" s="7" t="n">
        <v>5</v>
      </c>
      <c r="B9" s="7" t="inlineStr"/>
      <c r="C9" s="7" t="inlineStr"/>
      <c r="D9" s="7" t="inlineStr"/>
      <c r="E9" s="8" t="inlineStr"/>
      <c r="F9" s="7" t="inlineStr"/>
      <c r="G9" s="7" t="inlineStr"/>
    </row>
    <row r="10" ht="28" customHeight="1">
      <c r="A10" s="7" t="n">
        <v>6</v>
      </c>
      <c r="B10" s="7" t="inlineStr"/>
      <c r="C10" s="7" t="inlineStr"/>
      <c r="D10" s="7" t="inlineStr"/>
      <c r="E10" s="8" t="inlineStr"/>
      <c r="F10" s="7" t="inlineStr"/>
      <c r="G10" s="7" t="inlineStr"/>
    </row>
    <row r="11" ht="28" customHeight="1">
      <c r="A11" s="7" t="n">
        <v>7</v>
      </c>
      <c r="B11" s="7" t="inlineStr"/>
      <c r="C11" s="7" t="inlineStr"/>
      <c r="D11" s="7" t="inlineStr"/>
      <c r="E11" s="8" t="inlineStr"/>
      <c r="F11" s="7" t="inlineStr"/>
      <c r="G11" s="7" t="inlineStr"/>
    </row>
    <row r="12" ht="28" customHeight="1">
      <c r="A12" s="7" t="n">
        <v>8</v>
      </c>
      <c r="B12" s="7" t="inlineStr"/>
      <c r="C12" s="7" t="inlineStr"/>
      <c r="D12" s="7" t="inlineStr"/>
      <c r="E12" s="8" t="inlineStr"/>
      <c r="F12" s="7" t="inlineStr"/>
      <c r="G12" s="7" t="inlineStr"/>
    </row>
    <row r="13" ht="28" customHeight="1">
      <c r="A13" s="7" t="n">
        <v>9</v>
      </c>
      <c r="B13" s="7" t="inlineStr"/>
      <c r="C13" s="7" t="inlineStr"/>
      <c r="D13" s="7" t="inlineStr"/>
      <c r="E13" s="8" t="inlineStr"/>
      <c r="F13" s="7" t="inlineStr"/>
      <c r="G13" s="7" t="inlineStr"/>
    </row>
    <row r="14" ht="28" customHeight="1">
      <c r="A14" s="7" t="n">
        <v>10</v>
      </c>
      <c r="B14" s="7" t="inlineStr"/>
      <c r="C14" s="7" t="inlineStr"/>
      <c r="D14" s="7" t="inlineStr"/>
      <c r="E14" s="8" t="inlineStr"/>
      <c r="F14" s="7" t="inlineStr"/>
      <c r="G14" s="7" t="inlineStr"/>
    </row>
    <row r="15">
      <c r="A15" s="20" t="n"/>
      <c r="B15" s="20" t="n"/>
      <c r="C15" s="20" t="n"/>
      <c r="D15" s="21" t="inlineStr">
        <is>
          <t>合計檔次</t>
        </is>
      </c>
      <c r="E15" s="22">
        <f>SUM(E5:E14)</f>
        <v/>
      </c>
      <c r="F15" s="20" t="n"/>
      <c r="G15" s="20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8" customWidth="1" min="4" max="4"/>
    <col width="18" customWidth="1" min="5" max="5"/>
    <col width="12" customWidth="1" min="6" max="6"/>
    <col width="14" customWidth="1" min="7" max="7"/>
    <col width="12" customWidth="1" min="8" max="8"/>
    <col width="22" customWidth="1" min="9" max="9"/>
  </cols>
  <sheetData>
    <row r="1" ht="30" customHeight="1">
      <c r="A1" s="1" t="inlineStr">
        <is>
          <t>J-5 網路關鍵字/社群廣告追蹤表  |  目標：≥20則 / 截止 2026/6/3（論壇前30天，⚠最早截止）</t>
        </is>
      </c>
    </row>
    <row r="2">
      <c r="A2" s="19" t="inlineStr">
        <is>
          <t>平台範圍：Yahoo、Google、Facebook、YouTube、Instagram；扣款：每不足1則扣NT$1,000</t>
        </is>
      </c>
    </row>
    <row r="4" ht="32" customHeight="1">
      <c r="A4" s="5" t="inlineStr">
        <is>
          <t>序號</t>
        </is>
      </c>
      <c r="B4" s="5" t="inlineStr">
        <is>
          <t>平台</t>
        </is>
      </c>
      <c r="C4" s="5" t="inlineStr">
        <is>
          <t>廣告類型</t>
        </is>
      </c>
      <c r="D4" s="5" t="inlineStr">
        <is>
          <t>關鍵字/標題</t>
        </is>
      </c>
      <c r="E4" s="5" t="inlineStr">
        <is>
          <t>投放期間</t>
        </is>
      </c>
      <c r="F4" s="5" t="inlineStr">
        <is>
          <t>預算</t>
        </is>
      </c>
      <c r="G4" s="5" t="inlineStr">
        <is>
          <t>觸及/點擊</t>
        </is>
      </c>
      <c r="H4" s="5" t="inlineStr">
        <is>
          <t>狀態</t>
        </is>
      </c>
      <c r="I4" s="5" t="inlineStr">
        <is>
          <t>備註</t>
        </is>
      </c>
    </row>
    <row r="5" ht="26" customHeight="1">
      <c r="A5" s="7" t="n">
        <v>1</v>
      </c>
      <c r="B5" s="7" t="inlineStr">
        <is>
          <t>Google Ads</t>
        </is>
      </c>
      <c r="C5" s="7" t="inlineStr">
        <is>
          <t>關鍵字搜尋</t>
        </is>
      </c>
      <c r="D5" s="16" t="inlineStr">
        <is>
          <t>長照3.0</t>
        </is>
      </c>
      <c r="E5" s="16" t="inlineStr"/>
      <c r="F5" s="8" t="inlineStr"/>
      <c r="G5" s="8" t="inlineStr"/>
      <c r="H5" s="7" t="inlineStr">
        <is>
          <t>待上架</t>
        </is>
      </c>
      <c r="I5" s="16" t="inlineStr"/>
    </row>
    <row r="6" ht="26" customHeight="1">
      <c r="A6" s="7" t="n">
        <v>2</v>
      </c>
      <c r="B6" s="7" t="inlineStr">
        <is>
          <t>Google Ads</t>
        </is>
      </c>
      <c r="C6" s="7" t="inlineStr">
        <is>
          <t>關鍵字搜尋</t>
        </is>
      </c>
      <c r="D6" s="16" t="inlineStr">
        <is>
          <t>失智症照護</t>
        </is>
      </c>
      <c r="E6" s="16" t="inlineStr"/>
      <c r="F6" s="8" t="inlineStr"/>
      <c r="G6" s="8" t="inlineStr"/>
      <c r="H6" s="7" t="inlineStr">
        <is>
          <t>待上架</t>
        </is>
      </c>
      <c r="I6" s="16" t="inlineStr"/>
    </row>
    <row r="7" ht="26" customHeight="1">
      <c r="A7" s="7" t="n">
        <v>3</v>
      </c>
      <c r="B7" s="7" t="inlineStr">
        <is>
          <t>Google Ads</t>
        </is>
      </c>
      <c r="C7" s="7" t="inlineStr">
        <is>
          <t>關鍵字搜尋</t>
        </is>
      </c>
      <c r="D7" s="16" t="inlineStr">
        <is>
          <t>台中長照</t>
        </is>
      </c>
      <c r="E7" s="16" t="inlineStr"/>
      <c r="F7" s="8" t="inlineStr"/>
      <c r="G7" s="8" t="inlineStr"/>
      <c r="H7" s="7" t="inlineStr">
        <is>
          <t>待上架</t>
        </is>
      </c>
      <c r="I7" s="16" t="inlineStr"/>
    </row>
    <row r="8" ht="26" customHeight="1">
      <c r="A8" s="7" t="n">
        <v>4</v>
      </c>
      <c r="B8" s="7" t="inlineStr">
        <is>
          <t>Google Ads</t>
        </is>
      </c>
      <c r="C8" s="7" t="inlineStr">
        <is>
          <t>關鍵字搜尋</t>
        </is>
      </c>
      <c r="D8" s="16" t="inlineStr">
        <is>
          <t>台日長照論壇</t>
        </is>
      </c>
      <c r="E8" s="16" t="inlineStr"/>
      <c r="F8" s="8" t="inlineStr"/>
      <c r="G8" s="8" t="inlineStr"/>
      <c r="H8" s="7" t="inlineStr">
        <is>
          <t>待上架</t>
        </is>
      </c>
      <c r="I8" s="16" t="inlineStr"/>
    </row>
    <row r="9" ht="26" customHeight="1">
      <c r="A9" s="7" t="n">
        <v>5</v>
      </c>
      <c r="B9" s="7" t="inlineStr">
        <is>
          <t>Yahoo</t>
        </is>
      </c>
      <c r="C9" s="7" t="inlineStr">
        <is>
          <t>關鍵字搜尋</t>
        </is>
      </c>
      <c r="D9" s="16" t="inlineStr">
        <is>
          <t>長照3.0</t>
        </is>
      </c>
      <c r="E9" s="16" t="inlineStr"/>
      <c r="F9" s="8" t="inlineStr"/>
      <c r="G9" s="8" t="inlineStr"/>
      <c r="H9" s="7" t="inlineStr">
        <is>
          <t>待上架</t>
        </is>
      </c>
      <c r="I9" s="16" t="inlineStr"/>
    </row>
    <row r="10" ht="26" customHeight="1">
      <c r="A10" s="7" t="n">
        <v>6</v>
      </c>
      <c r="B10" s="7" t="inlineStr">
        <is>
          <t>Yahoo</t>
        </is>
      </c>
      <c r="C10" s="7" t="inlineStr">
        <is>
          <t>關鍵字搜尋</t>
        </is>
      </c>
      <c r="D10" s="16" t="inlineStr">
        <is>
          <t>失智共照中心</t>
        </is>
      </c>
      <c r="E10" s="16" t="inlineStr"/>
      <c r="F10" s="8" t="inlineStr"/>
      <c r="G10" s="8" t="inlineStr"/>
      <c r="H10" s="7" t="inlineStr">
        <is>
          <t>待上架</t>
        </is>
      </c>
      <c r="I10" s="16" t="inlineStr"/>
    </row>
    <row r="11" ht="26" customHeight="1">
      <c r="A11" s="7" t="n">
        <v>7</v>
      </c>
      <c r="B11" s="7" t="inlineStr">
        <is>
          <t>Facebook</t>
        </is>
      </c>
      <c r="C11" s="7" t="inlineStr">
        <is>
          <t>貼文加強推廣</t>
        </is>
      </c>
      <c r="D11" s="16" t="inlineStr">
        <is>
          <t>論壇預告主視覺貼文</t>
        </is>
      </c>
      <c r="E11" s="16" t="inlineStr"/>
      <c r="F11" s="8" t="inlineStr"/>
      <c r="G11" s="8" t="inlineStr"/>
      <c r="H11" s="7" t="inlineStr">
        <is>
          <t>待上架</t>
        </is>
      </c>
      <c r="I11" s="16" t="inlineStr"/>
    </row>
    <row r="12" ht="26" customHeight="1">
      <c r="A12" s="7" t="n">
        <v>8</v>
      </c>
      <c r="B12" s="7" t="inlineStr">
        <is>
          <t>Facebook</t>
        </is>
      </c>
      <c r="C12" s="7" t="inlineStr">
        <is>
          <t>貼文加強推廣</t>
        </is>
      </c>
      <c r="D12" s="16" t="inlineStr">
        <is>
          <t>長照3.0八大目標懶人包</t>
        </is>
      </c>
      <c r="E12" s="16" t="inlineStr"/>
      <c r="F12" s="8" t="inlineStr"/>
      <c r="G12" s="8" t="inlineStr"/>
      <c r="H12" s="7" t="inlineStr">
        <is>
          <t>待上架</t>
        </is>
      </c>
      <c r="I12" s="16" t="inlineStr"/>
    </row>
    <row r="13" ht="26" customHeight="1">
      <c r="A13" s="7" t="n">
        <v>9</v>
      </c>
      <c r="B13" s="7" t="inlineStr">
        <is>
          <t>Facebook</t>
        </is>
      </c>
      <c r="C13" s="7" t="inlineStr">
        <is>
          <t>貼文加強推廣</t>
        </is>
      </c>
      <c r="D13" s="16" t="inlineStr">
        <is>
          <t>失智友善天使招募</t>
        </is>
      </c>
      <c r="E13" s="16" t="inlineStr"/>
      <c r="F13" s="8" t="inlineStr"/>
      <c r="G13" s="8" t="inlineStr"/>
      <c r="H13" s="7" t="inlineStr">
        <is>
          <t>待上架</t>
        </is>
      </c>
      <c r="I13" s="16" t="inlineStr"/>
    </row>
    <row r="14" ht="26" customHeight="1">
      <c r="A14" s="7" t="n">
        <v>10</v>
      </c>
      <c r="B14" s="7" t="inlineStr">
        <is>
          <t>Facebook</t>
        </is>
      </c>
      <c r="C14" s="7" t="inlineStr">
        <is>
          <t>貼文加強推廣</t>
        </is>
      </c>
      <c r="D14" s="16" t="inlineStr">
        <is>
          <t>長照即時通App介紹</t>
        </is>
      </c>
      <c r="E14" s="16" t="inlineStr"/>
      <c r="F14" s="8" t="inlineStr"/>
      <c r="G14" s="8" t="inlineStr"/>
      <c r="H14" s="7" t="inlineStr">
        <is>
          <t>待上架</t>
        </is>
      </c>
      <c r="I14" s="16" t="inlineStr"/>
    </row>
    <row r="15" ht="26" customHeight="1">
      <c r="A15" s="7" t="n">
        <v>11</v>
      </c>
      <c r="B15" s="7" t="inlineStr">
        <is>
          <t>Instagram</t>
        </is>
      </c>
      <c r="C15" s="7" t="inlineStr">
        <is>
          <t>Reels/Story</t>
        </is>
      </c>
      <c r="D15" s="16" t="inlineStr">
        <is>
          <t>論壇預告短影音</t>
        </is>
      </c>
      <c r="E15" s="16" t="inlineStr"/>
      <c r="F15" s="8" t="inlineStr"/>
      <c r="G15" s="8" t="inlineStr"/>
      <c r="H15" s="7" t="inlineStr">
        <is>
          <t>待上架</t>
        </is>
      </c>
      <c r="I15" s="16" t="inlineStr"/>
    </row>
    <row r="16" ht="26" customHeight="1">
      <c r="A16" s="7" t="n">
        <v>12</v>
      </c>
      <c r="B16" s="7" t="inlineStr">
        <is>
          <t>Instagram</t>
        </is>
      </c>
      <c r="C16" s="7" t="inlineStr">
        <is>
          <t>Reels/Story</t>
        </is>
      </c>
      <c r="D16" s="16" t="inlineStr">
        <is>
          <t>失智症關懷短影音</t>
        </is>
      </c>
      <c r="E16" s="16" t="inlineStr"/>
      <c r="F16" s="8" t="inlineStr"/>
      <c r="G16" s="8" t="inlineStr"/>
      <c r="H16" s="7" t="inlineStr">
        <is>
          <t>待上架</t>
        </is>
      </c>
      <c r="I16" s="16" t="inlineStr"/>
    </row>
    <row r="17" ht="26" customHeight="1">
      <c r="A17" s="7" t="n">
        <v>13</v>
      </c>
      <c r="B17" s="7" t="inlineStr">
        <is>
          <t>Instagram</t>
        </is>
      </c>
      <c r="C17" s="7" t="inlineStr">
        <is>
          <t>貼文廣告</t>
        </is>
      </c>
      <c r="D17" s="16" t="inlineStr">
        <is>
          <t>ABC據點懶人包圖卡</t>
        </is>
      </c>
      <c r="E17" s="16" t="inlineStr"/>
      <c r="F17" s="8" t="inlineStr"/>
      <c r="G17" s="8" t="inlineStr"/>
      <c r="H17" s="7" t="inlineStr">
        <is>
          <t>待上架</t>
        </is>
      </c>
      <c r="I17" s="16" t="inlineStr"/>
    </row>
    <row r="18" ht="26" customHeight="1">
      <c r="A18" s="7" t="n">
        <v>14</v>
      </c>
      <c r="B18" s="7" t="inlineStr">
        <is>
          <t>YouTube</t>
        </is>
      </c>
      <c r="C18" s="7" t="inlineStr">
        <is>
          <t>TrueView前導</t>
        </is>
      </c>
      <c r="D18" s="16" t="inlineStr">
        <is>
          <t>論壇15秒預告片</t>
        </is>
      </c>
      <c r="E18" s="16" t="inlineStr"/>
      <c r="F18" s="8" t="inlineStr"/>
      <c r="G18" s="8" t="inlineStr"/>
      <c r="H18" s="7" t="inlineStr">
        <is>
          <t>待上架</t>
        </is>
      </c>
      <c r="I18" s="16" t="inlineStr"/>
    </row>
    <row r="19" ht="26" customHeight="1">
      <c r="A19" s="7" t="n">
        <v>15</v>
      </c>
      <c r="B19" s="7" t="inlineStr">
        <is>
          <t>YouTube</t>
        </is>
      </c>
      <c r="C19" s="7" t="inlineStr">
        <is>
          <t>TrueView前導</t>
        </is>
      </c>
      <c r="D19" s="16" t="inlineStr">
        <is>
          <t>長照3.0說明影片</t>
        </is>
      </c>
      <c r="E19" s="16" t="inlineStr"/>
      <c r="F19" s="8" t="inlineStr"/>
      <c r="G19" s="8" t="inlineStr"/>
      <c r="H19" s="7" t="inlineStr">
        <is>
          <t>待上架</t>
        </is>
      </c>
      <c r="I19" s="16" t="inlineStr"/>
    </row>
    <row r="20" ht="26" customHeight="1">
      <c r="A20" s="7" t="n">
        <v>16</v>
      </c>
      <c r="B20" s="7" t="inlineStr">
        <is>
          <t>YouTube</t>
        </is>
      </c>
      <c r="C20" s="7" t="inlineStr">
        <is>
          <t>Bumper Ads</t>
        </is>
      </c>
      <c r="D20" s="16" t="inlineStr">
        <is>
          <t>失智友善6秒CTA</t>
        </is>
      </c>
      <c r="E20" s="16" t="inlineStr"/>
      <c r="F20" s="8" t="inlineStr"/>
      <c r="G20" s="8" t="inlineStr"/>
      <c r="H20" s="7" t="inlineStr">
        <is>
          <t>待上架</t>
        </is>
      </c>
      <c r="I20" s="16" t="inlineStr"/>
    </row>
    <row r="21" ht="26" customHeight="1">
      <c r="A21" s="7" t="n">
        <v>17</v>
      </c>
      <c r="B21" s="7" t="inlineStr">
        <is>
          <t>LINE</t>
        </is>
      </c>
      <c r="C21" s="7" t="inlineStr">
        <is>
          <t>LAP原生</t>
        </is>
      </c>
      <c r="D21" s="16" t="inlineStr">
        <is>
          <t>長照3.0新制提醒</t>
        </is>
      </c>
      <c r="E21" s="16" t="inlineStr"/>
      <c r="F21" s="8" t="inlineStr"/>
      <c r="G21" s="8" t="inlineStr"/>
      <c r="H21" s="7" t="inlineStr">
        <is>
          <t>待上架</t>
        </is>
      </c>
      <c r="I21" s="16" t="inlineStr"/>
    </row>
    <row r="22" ht="26" customHeight="1">
      <c r="A22" s="7" t="n">
        <v>18</v>
      </c>
      <c r="B22" s="7" t="inlineStr">
        <is>
          <t>Dcard</t>
        </is>
      </c>
      <c r="C22" s="7" t="inlineStr">
        <is>
          <t>社群廣告</t>
        </is>
      </c>
      <c r="D22" s="16" t="inlineStr">
        <is>
          <t>年輕族群-照顧者議題</t>
        </is>
      </c>
      <c r="E22" s="16" t="inlineStr"/>
      <c r="F22" s="8" t="inlineStr"/>
      <c r="G22" s="8" t="inlineStr"/>
      <c r="H22" s="7" t="inlineStr">
        <is>
          <t>待上架</t>
        </is>
      </c>
      <c r="I22" s="16" t="inlineStr"/>
    </row>
    <row r="23" ht="26" customHeight="1">
      <c r="A23" s="7" t="n">
        <v>19</v>
      </c>
      <c r="B23" s="7" t="inlineStr">
        <is>
          <t>Threads</t>
        </is>
      </c>
      <c r="C23" s="7" t="inlineStr">
        <is>
          <t>貼文推廣</t>
        </is>
      </c>
      <c r="D23" s="16" t="inlineStr">
        <is>
          <t>論壇預告</t>
        </is>
      </c>
      <c r="E23" s="16" t="inlineStr"/>
      <c r="F23" s="8" t="inlineStr"/>
      <c r="G23" s="8" t="inlineStr"/>
      <c r="H23" s="7" t="inlineStr">
        <is>
          <t>待上架</t>
        </is>
      </c>
      <c r="I23" s="16" t="inlineStr"/>
    </row>
    <row r="24" ht="26" customHeight="1">
      <c r="A24" s="7" t="n">
        <v>20</v>
      </c>
      <c r="B24" s="7" t="inlineStr">
        <is>
          <t>電子報</t>
        </is>
      </c>
      <c r="C24" s="7" t="inlineStr">
        <is>
          <t>EDM</t>
        </is>
      </c>
      <c r="D24" s="16" t="inlineStr">
        <is>
          <t>合作媒體電子報×1</t>
        </is>
      </c>
      <c r="E24" s="16" t="inlineStr"/>
      <c r="F24" s="8" t="inlineStr"/>
      <c r="G24" s="8" t="inlineStr"/>
      <c r="H24" s="7" t="inlineStr">
        <is>
          <t>待上架</t>
        </is>
      </c>
      <c r="I24" s="1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32" customWidth="1" min="4" max="4"/>
    <col width="16" customWidth="1" min="5" max="5"/>
    <col width="32" customWidth="1" min="6" max="6"/>
    <col width="18" customWidth="1" min="7" max="7"/>
  </cols>
  <sheetData>
    <row r="1" ht="30" customHeight="1">
      <c r="A1" s="23" t="inlineStr">
        <is>
          <t>⚠ 扣款風險清單 / 公傳室負責範疇</t>
        </is>
      </c>
    </row>
    <row r="3" ht="32" customHeight="1">
      <c r="A3" s="5" t="inlineStr">
        <is>
          <t>序號</t>
        </is>
      </c>
      <c r="B3" s="5" t="inlineStr">
        <is>
          <t>扣款項目</t>
        </is>
      </c>
      <c r="C3" s="5" t="inlineStr">
        <is>
          <t>標規依據</t>
        </is>
      </c>
      <c r="D3" s="5" t="inlineStr">
        <is>
          <t>扣款計算</t>
        </is>
      </c>
      <c r="E3" s="5" t="inlineStr">
        <is>
          <t>上限</t>
        </is>
      </c>
      <c r="F3" s="5" t="inlineStr">
        <is>
          <t>驗收憑證</t>
        </is>
      </c>
      <c r="G3" s="5" t="inlineStr">
        <is>
          <t>對應分頁</t>
        </is>
      </c>
    </row>
    <row r="4" ht="32" customHeight="1">
      <c r="A4" s="7" t="n">
        <v>1</v>
      </c>
      <c r="B4" s="16" t="inlineStr">
        <is>
          <t>報紙廣告未達2則</t>
        </is>
      </c>
      <c r="C4" s="7" t="inlineStr">
        <is>
          <t>九(十一)2</t>
        </is>
      </c>
      <c r="D4" s="16" t="inlineStr">
        <is>
          <t>每不足1則扣NT$20,000</t>
        </is>
      </c>
      <c r="E4" s="7" t="inlineStr">
        <is>
          <t>無上限</t>
        </is>
      </c>
      <c r="F4" s="16" t="inlineStr">
        <is>
          <t>報紙刊登截圖/掃描件、版面編號、刊期</t>
        </is>
      </c>
      <c r="G4" s="16" t="inlineStr">
        <is>
          <t>J-1報紙廣告</t>
        </is>
      </c>
    </row>
    <row r="5" ht="32" customHeight="1">
      <c r="A5" s="7" t="n">
        <v>2</v>
      </c>
      <c r="B5" s="16" t="inlineStr">
        <is>
          <t>論壇後新聞稿未達1篇</t>
        </is>
      </c>
      <c r="C5" s="7" t="inlineStr">
        <is>
          <t>九(十一)2</t>
        </is>
      </c>
      <c r="D5" s="16" t="inlineStr">
        <is>
          <t>扣NT$10,000</t>
        </is>
      </c>
      <c r="E5" s="7" t="inlineStr">
        <is>
          <t>NT$10,000</t>
        </is>
      </c>
      <c r="F5" s="16" t="inlineStr">
        <is>
          <t>報紙刊登截圖、刊期</t>
        </is>
      </c>
      <c r="G5" s="16" t="inlineStr">
        <is>
          <t>J-2活動後新聞稿</t>
        </is>
      </c>
    </row>
    <row r="6" ht="32" customHeight="1">
      <c r="A6" s="7" t="n">
        <v>3</v>
      </c>
      <c r="B6" s="16" t="inlineStr">
        <is>
          <t>數位廣編稿未達10則</t>
        </is>
      </c>
      <c r="C6" s="7" t="inlineStr">
        <is>
          <t>九(十一)3</t>
        </is>
      </c>
      <c r="D6" s="16" t="inlineStr">
        <is>
          <t>每不足1則扣NT$10,000</t>
        </is>
      </c>
      <c r="E6" s="7" t="inlineStr">
        <is>
          <t>契約價金20%</t>
        </is>
      </c>
      <c r="F6" s="16" t="inlineStr">
        <is>
          <t>各則URL截圖、媒體、發布日期</t>
        </is>
      </c>
      <c r="G6" s="16" t="inlineStr">
        <is>
          <t>J-3數位廣編稿</t>
        </is>
      </c>
    </row>
    <row r="7" ht="32" customHeight="1">
      <c r="A7" s="7" t="n">
        <v>4</v>
      </c>
      <c r="B7" s="16" t="inlineStr">
        <is>
          <t>廣編稿總曝光未達200萬人次</t>
        </is>
      </c>
      <c r="C7" s="7" t="inlineStr">
        <is>
          <t>九(十一)3</t>
        </is>
      </c>
      <c r="D7" s="16" t="inlineStr">
        <is>
          <t>以契約價金20%為限</t>
        </is>
      </c>
      <c r="E7" s="7" t="inlineStr">
        <is>
          <t>契約價金20%</t>
        </is>
      </c>
      <c r="F7" s="16" t="inlineStr">
        <is>
          <t>後台數據截圖（含日期/觸及）</t>
        </is>
      </c>
      <c r="G7" s="16" t="inlineStr">
        <is>
          <t>J-3數位廣編稿</t>
        </is>
      </c>
    </row>
    <row r="8" ht="32" customHeight="1">
      <c r="A8" s="7" t="n">
        <v>5</v>
      </c>
      <c r="B8" s="16" t="inlineStr">
        <is>
          <t>電視牆/看板未達4,000檔次</t>
        </is>
      </c>
      <c r="C8" s="7" t="inlineStr">
        <is>
          <t>九(十一)4</t>
        </is>
      </c>
      <c r="D8" s="16" t="inlineStr">
        <is>
          <t>每不足1檔扣NT$1,000</t>
        </is>
      </c>
      <c r="E8" s="7" t="inlineStr">
        <is>
          <t>契約價金20%</t>
        </is>
      </c>
      <c r="F8" s="16" t="inlineStr">
        <is>
          <t>場域播出紀錄（時段/地點/檔次）</t>
        </is>
      </c>
      <c r="G8" s="16" t="inlineStr">
        <is>
          <t>J-4電視牆看板</t>
        </is>
      </c>
    </row>
    <row r="9" ht="32" customHeight="1">
      <c r="A9" s="7" t="n">
        <v>6</v>
      </c>
      <c r="B9" s="16" t="inlineStr">
        <is>
          <t>網路廣告未達20則</t>
        </is>
      </c>
      <c r="C9" s="7" t="inlineStr">
        <is>
          <t>九(十一)5</t>
        </is>
      </c>
      <c r="D9" s="16" t="inlineStr">
        <is>
          <t>每不足1則扣NT$1,000</t>
        </is>
      </c>
      <c r="E9" s="7" t="inlineStr">
        <is>
          <t>契約價金20%</t>
        </is>
      </c>
      <c r="F9" s="16" t="inlineStr">
        <is>
          <t>各則廣告截圖、平台、刊期</t>
        </is>
      </c>
      <c r="G9" s="16" t="inlineStr">
        <is>
          <t>J-5網路關鍵字</t>
        </is>
      </c>
    </row>
    <row r="10" ht="32" customHeight="1">
      <c r="A10" s="7" t="n">
        <v>7</v>
      </c>
      <c r="B10" s="16" t="inlineStr">
        <is>
          <t>長照系列影片未完成</t>
        </is>
      </c>
      <c r="C10" s="7" t="inlineStr">
        <is>
          <t>九(十一)6</t>
        </is>
      </c>
      <c r="D10" s="16" t="inlineStr">
        <is>
          <t>扣NT$10,000</t>
        </is>
      </c>
      <c r="E10" s="7" t="inlineStr">
        <is>
          <t>NT$10,000</t>
        </is>
      </c>
      <c r="F10" s="16" t="inlineStr">
        <is>
          <t>影片檔案≥10分鐘、上刊截圖</t>
        </is>
      </c>
      <c r="G10" s="16" t="inlineStr">
        <is>
          <t>（M-1，非本表）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2026-05-20T13:28:55Z</dcterms:created>
  <dcterms:modified xmlns:dcterms="http://purl.org/dc/terms/" xmlns:xsi="http://www.w3.org/2001/XMLSchema-instance" xsi:type="dcterms:W3CDTF">2026-05-20T13:28:55Z</dcterms:modified>
</cp:coreProperties>
</file>